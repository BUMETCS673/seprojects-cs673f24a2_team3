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3"/>
    <sheet state="visible" name="Xuansheng Xia" sheetId="2" r:id="rId4"/>
    <sheet state="visible" name="Xiaojuan Li" sheetId="3" r:id="rId5"/>
    <sheet state="visible" name="Hengyi Song" sheetId="4" r:id="rId6"/>
    <sheet state="visible" name="Ziliang Ren" sheetId="5" r:id="rId7"/>
    <sheet state="visible" name="Mingyuan Xu" sheetId="6" r:id="rId8"/>
    <sheet state="visible" name="projectcontribution" sheetId="7" r:id="rId9"/>
  </sheets>
  <definedNames/>
  <calcPr/>
</workbook>
</file>

<file path=xl/sharedStrings.xml><?xml version="1.0" encoding="utf-8"?>
<sst xmlns="http://schemas.openxmlformats.org/spreadsheetml/2006/main" count="360" uniqueCount="262">
  <si>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</si>
  <si>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</si>
  <si>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</si>
  <si>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</si>
  <si>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</si>
  <si>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</si>
  <si>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</si>
  <si>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</si>
  <si>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</si>
  <si>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</si>
  <si>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</si>
  <si>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</si>
  <si>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</si>
  <si>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</si>
  <si>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</si>
  <si>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</si>
  <si>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</si>
  <si>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</si>
  <si>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</si>
  <si>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</si>
  <si>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</si>
  <si>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</si>
  <si>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</si>
  <si>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</si>
  <si>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t>
  </si>
  <si>
    <t>9.13-9.26</t>
  </si>
  <si>
    <r>
      <rPr>
        <b/>
      </rPr>
      <t xml:space="preserve">Project Initiation: </t>
    </r>
    <r>
      <rPr/>
      <t xml:space="preserve">Set up the Django framework and GitHub repository.
</t>
    </r>
    <r>
      <rPr>
        <b/>
      </rPr>
      <t xml:space="preserve">Planning &amp; Design: </t>
    </r>
    <r>
      <rPr/>
      <t xml:space="preserve">Defined high-level project features and user stories.
</t>
    </r>
    <r>
      <rPr>
        <b/>
      </rPr>
      <t xml:space="preserve">Risk Management: </t>
    </r>
    <r>
      <rPr/>
      <t xml:space="preserve">Identified potential project risks and mitigation strategies.
</t>
    </r>
    <r>
      <rPr>
        <b/>
      </rPr>
      <t xml:space="preserve">Related Work: </t>
    </r>
    <r>
      <rPr/>
      <t xml:space="preserve">Analyzed existing movie data visualization platforms for comparison.
</t>
    </r>
    <r>
      <rPr>
        <b/>
      </rPr>
      <t xml:space="preserve">Configuration Management: </t>
    </r>
    <r>
      <rPr/>
      <t xml:space="preserve">Established Git branching strategy and CI/CD pipeline using GitHub Actions and Docker.
</t>
    </r>
    <r>
      <rPr>
        <b/>
      </rPr>
      <t xml:space="preserve">Testing Plan: </t>
    </r>
    <r>
      <rPr/>
      <t xml:space="preserve">Outlined testing strategy, including unit, integration, and manual testing with selected tools.
</t>
    </r>
    <r>
      <rPr>
        <b/>
      </rPr>
      <t xml:space="preserve">Demo Development: </t>
    </r>
    <r>
      <rPr/>
      <t>Created a demo to showcase basic features and structure.</t>
    </r>
  </si>
  <si>
    <t>Limited familiarity with Django framework among some team members, and unfamiliarity with GitHub version control for others, requiring additional onboarding and training.</t>
  </si>
  <si>
    <t>Task content lacked clear explanation, and team faced limited understanding of certain concepts in the SPPP document, requiring clarification and additional research.</t>
  </si>
  <si>
    <t>Enhance communication and task allocation by setting clearer assignments and timelines. Leaders will share knowledge and experience to assist team members in unfamiliar areas. Increase the use of Google Drive and GitHub for frequent document and code synchronization.</t>
  </si>
  <si>
    <t>9.27-10.17</t>
  </si>
  <si>
    <r>
      <rPr>
        <rFont val="Arial"/>
        <b/>
      </rPr>
      <t xml:space="preserve">Project Start Stage: </t>
    </r>
    <r>
      <rPr>
        <rFont val="Arial"/>
        <b val="0"/>
      </rPr>
      <t>Set up the docker, designed and implemented the database schema, and developed Python scripts to scrape IMDb data and populate the database.</t>
    </r>
    <r>
      <rPr>
        <rFont val="Arial"/>
        <b/>
      </rPr>
      <t xml:space="preserve">
 Backend &amp; Frontend Development:</t>
    </r>
    <r>
      <rPr>
        <rFont val="Arial"/>
        <b val="0"/>
      </rPr>
      <t xml:space="preserve"> Created initial data visualizations using JavaScript and ECharts; Ensured initial seamless integration of frontend and backend components with Docker.</t>
    </r>
    <r>
      <rPr>
        <rFont val="Arial"/>
        <b/>
      </rPr>
      <t xml:space="preserve">
 Testing &amp; Debugging: </t>
    </r>
    <r>
      <rPr>
        <rFont val="Arial"/>
        <b val="0"/>
      </rPr>
      <t>Outlined acceptance tests and implemented them in core features.Performed initial testing and debugging for data accuracy and system functionality.</t>
    </r>
    <r>
      <rPr>
        <rFont val="Arial"/>
        <b/>
      </rPr>
      <t xml:space="preserve">
 Initial UI Design:</t>
    </r>
    <r>
      <rPr>
        <rFont val="Arial"/>
        <b val="0"/>
      </rPr>
      <t>Creating the first draft version of the UI (wireframe ).Also, designed and refined UI to an initial version.</t>
    </r>
    <r>
      <rPr>
        <rFont val="Arial"/>
        <b/>
      </rPr>
      <t xml:space="preserve">
 Configuration Management: </t>
    </r>
    <r>
      <rPr>
        <rFont val="Arial"/>
        <b val="0"/>
      </rPr>
      <t>Managed Docker configurations for consistent environment setup; pushed code to GitHub and maintained version control.</t>
    </r>
    <r>
      <rPr>
        <rFont val="Arial"/>
        <b/>
      </rPr>
      <t xml:space="preserve">
 Demo Development: </t>
    </r>
    <r>
      <rPr>
        <rFont val="Arial"/>
        <b val="0"/>
      </rPr>
      <t>Created related demos presenting the functionality and UI design.</t>
    </r>
  </si>
  <si>
    <r>
      <rPr>
        <rFont val="Arial, sans-serif"/>
        <b/>
        <color rgb="FF000000"/>
      </rPr>
      <t>Tools:</t>
    </r>
    <r>
      <rPr>
        <rFont val="Arial, sans-serif"/>
        <b val="0"/>
        <color rgb="FF000000"/>
      </rPr>
      <t>Limited familiarity with tools like Docker and Jira.</t>
    </r>
    <r>
      <rPr>
        <rFont val="Arial, sans-serif"/>
        <b/>
        <color rgb="FF000000"/>
      </rPr>
      <t xml:space="preserve">
 Debugging:</t>
    </r>
    <r>
      <rPr>
        <rFont val="Arial, sans-serif"/>
        <b val="0"/>
        <color rgb="FF000000"/>
      </rPr>
      <t>Challenges with Docker configuration and frontend-backend integration, which were resolved through extensive debugging.</t>
    </r>
    <r>
      <rPr>
        <rFont val="Arial, sans-serif"/>
        <b/>
        <color rgb="FF000000"/>
      </rPr>
      <t xml:space="preserve">
 Developing: </t>
    </r>
    <r>
      <rPr>
        <rFont val="Arial, sans-serif"/>
        <b val="0"/>
        <color rgb="FF000000"/>
      </rPr>
      <t>Difficulties with advanced ECharts features for dynamic visualizations.</t>
    </r>
  </si>
  <si>
    <r>
      <rPr>
        <rFont val="Arial, sans-serif"/>
        <b/>
      </rPr>
      <t xml:space="preserve">Learning Curve: </t>
    </r>
    <r>
      <rPr>
        <rFont val="Arial, sans-serif"/>
        <b val="0"/>
      </rPr>
      <t>Some team members had difficulty learning new tools like Docker and Django, leading to delays.</t>
    </r>
    <r>
      <rPr>
        <rFont val="Arial, sans-serif"/>
        <b/>
      </rPr>
      <t xml:space="preserve">
 Task Clarity:</t>
    </r>
    <r>
      <rPr>
        <rFont val="Arial, sans-serif"/>
        <b val="0"/>
      </rPr>
      <t>Ambiguity in task assignments led to minor confusion regarding roles and expectations, affecting efficiency.</t>
    </r>
  </si>
  <si>
    <r>
      <rPr>
        <rFont val="Arial, sans-serif"/>
        <b/>
        <color rgb="FF000000"/>
      </rPr>
      <t xml:space="preserve">Self-Study Resources: </t>
    </r>
    <r>
      <rPr>
        <rFont val="Arial, sans-serif"/>
        <b val="0"/>
        <color rgb="FF000000"/>
      </rPr>
      <t>Provide team members with curated learning materials and tutorials for Docker, Jira, and ECharts to encourage independent learning.</t>
    </r>
    <r>
      <rPr>
        <rFont val="Arial, sans-serif"/>
        <b/>
        <color rgb="FF000000"/>
      </rPr>
      <t xml:space="preserve">
 Peer Debugging: </t>
    </r>
    <r>
      <rPr>
        <rFont val="Arial, sans-serif"/>
        <b val="0"/>
        <color rgb="FF000000"/>
      </rPr>
      <t>Encourage peer collaboration for debugging through code reviews and troubleshooting sessions.</t>
    </r>
    <r>
      <rPr>
        <rFont val="Arial, sans-serif"/>
        <b/>
        <color rgb="FF000000"/>
      </rPr>
      <t xml:space="preserve">
 Advanced Feature Exploration: </t>
    </r>
    <r>
      <rPr>
        <rFont val="Arial, sans-serif"/>
        <b val="0"/>
        <color rgb="FF000000"/>
      </rPr>
      <t>Assign time for team members to explore and experiment with advanced ECharts features individually, followed by knowledge-sharing sessions.</t>
    </r>
    <r>
      <rPr>
        <rFont val="Arial, sans-serif"/>
        <b/>
        <color rgb="FF000000"/>
      </rPr>
      <t xml:space="preserve">
 Mentorship on Demand: </t>
    </r>
    <r>
      <rPr>
        <rFont val="Arial, sans-serif"/>
        <b val="0"/>
        <color rgb="FF000000"/>
      </rPr>
      <t>Offer on-demand mentorship for team members needing help with Docker and Django, allowing flexibility for self-paced learning</t>
    </r>
    <r>
      <rPr>
        <rFont val="Arial, sans-serif"/>
        <b/>
        <color rgb="FF000000"/>
      </rPr>
      <t xml:space="preserve">.
 Task Clarification in Meetings: </t>
    </r>
    <r>
      <rPr>
        <rFont val="Arial, sans-serif"/>
        <b val="0"/>
        <color rgb="FF000000"/>
      </rPr>
      <t>Use team meetings to clarify task details and adjust expectations based on feedback, promoting clearer understanding of roles.</t>
    </r>
  </si>
  <si>
    <t>10.18-11.07</t>
  </si>
  <si>
    <r>
      <rPr>
        <b/>
      </rPr>
      <t>Feature Integration:</t>
    </r>
    <r>
      <rPr/>
      <t xml:space="preserve"> Completed sentiment analysis and word cloud features, finalized dashboard design, and deployed automated E2E tests within Docker.
</t>
    </r>
    <r>
      <rPr>
        <b/>
      </rPr>
      <t xml:space="preserve">Deployment: </t>
    </r>
    <r>
      <rPr/>
      <t xml:space="preserve">Configured and published Docker images on Docker Hub, enabling consistent deployment, and established GitHub Actions workflows for CI/CD.
</t>
    </r>
    <r>
      <rPr>
        <b/>
      </rPr>
      <t>Optimization:</t>
    </r>
    <r>
      <rPr/>
      <t xml:space="preserve"> Improved database query performance and enhanced data validation protocols for better integrity.
</t>
    </r>
    <r>
      <rPr>
        <b/>
      </rPr>
      <t>Collaboration:</t>
    </r>
    <r>
      <rPr/>
      <t xml:space="preserve"> Maintained effective teamwork through weekly meetings, active communication, and regular documentation updates.</t>
    </r>
  </si>
  <si>
    <r>
      <rPr>
        <b/>
      </rPr>
      <t xml:space="preserve">CI/CD Setup: </t>
    </r>
    <r>
      <rPr/>
      <t xml:space="preserve">Encountered initial issues with GitHub Actions YAML syntax and environment variable setup, resolved by correcting syntax and adjusting variables.
</t>
    </r>
    <r>
      <rPr>
        <b/>
      </rPr>
      <t xml:space="preserve">Docker Configuration: </t>
    </r>
    <r>
      <rPr/>
      <t xml:space="preserve">Faced Docker Compose and database connection issues, addressed by refining network and configuration settings.
</t>
    </r>
    <r>
      <rPr>
        <b/>
      </rPr>
      <t>Feature Debugging:</t>
    </r>
    <r>
      <rPr/>
      <t xml:space="preserve"> Required extensive testing to align sentiment and word cloud modules, completed through iterative adjustments.</t>
    </r>
  </si>
  <si>
    <r>
      <rPr>
        <b/>
      </rPr>
      <t>Documentation:</t>
    </r>
    <r>
      <rPr/>
      <t xml:space="preserve"> Managing GitHub contributions required organized documentation for Docker and workflow integration.
</t>
    </r>
    <r>
      <rPr>
        <b/>
      </rPr>
      <t xml:space="preserve">Skill Balancing: </t>
    </r>
    <r>
      <rPr/>
      <t xml:space="preserve">Balancing learning of new tools (CI/CD, Docker) with implementation tasks; team members allocated time for self-study and knowledge sharing.
</t>
    </r>
    <r>
      <rPr>
        <b/>
      </rPr>
      <t>Presentation Preparation:</t>
    </r>
    <r>
      <rPr/>
      <t xml:space="preserve"> Coordinated efforts and clear role assignments were essential for the iteration presentation and documentation finalization.</t>
    </r>
  </si>
  <si>
    <r>
      <rPr>
        <b/>
      </rPr>
      <t xml:space="preserve">Testing Expansion: </t>
    </r>
    <r>
      <rPr/>
      <t xml:space="preserve">Increase test coverage in the GitHub Actions pipeline to support new features and ensure reliability.
</t>
    </r>
    <r>
      <rPr>
        <b/>
      </rPr>
      <t xml:space="preserve">Documentation Standardization: </t>
    </r>
    <r>
      <rPr/>
      <t xml:space="preserve">Enhance documentation practices for Docker and CI/CD configurations to facilitate team handoffs and reduce confusion.
</t>
    </r>
    <r>
      <rPr>
        <b/>
      </rPr>
      <t xml:space="preserve">Knowledge Sharing: </t>
    </r>
    <r>
      <rPr/>
      <t>Continue skill-sharing sessions on CI/CD and Docker to improve team proficiency and onboarding efficiency.</t>
    </r>
  </si>
  <si>
    <r>
      <rPr>
        <rFont val="Arial"/>
        <b/>
      </rPr>
      <t>Your Lead Roles</t>
    </r>
    <r>
      <rPr>
        <rFont val="Arial"/>
      </rPr>
      <t>: Team Leader, Design and Implementation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</si>
  <si>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</si>
  <si>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</si>
  <si>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</si>
  <si>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</si>
  <si>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</si>
  <si>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Project Deliverable Contribution</t>
  </si>
  <si>
    <t>Issues</t>
  </si>
  <si>
    <t>Issue status or plan</t>
  </si>
  <si>
    <t>Estimated tasks for next week</t>
  </si>
  <si>
    <t>Total estimated time</t>
  </si>
  <si>
    <t>09/13-09/19</t>
  </si>
  <si>
    <t>0 - Familiarized with GitHub Desktop and learned version control setup.
1 - Defined the high-level overview for the project proposal.
6 - Set up GitHub repository and configured project environment.</t>
  </si>
  <si>
    <t>1. Initialized GitHub repository with project structure and documentation.
2. Wrote project overview for the SPPP document.</t>
  </si>
  <si>
    <t>1. Limited familiarity with Django framework.
2. Difficulty in assigning clear tasks and roles for team members.</t>
  </si>
  <si>
    <t>1. Begin Django tutorials to improve proficiency.
2. Collaborate with team members to define roles and distribute tasks.</t>
  </si>
  <si>
    <t>0. Continue with Django tutorials and build a basic project example.
1. Outline functional requirements for the SPPP document.</t>
  </si>
  <si>
    <t>09/20-09/26</t>
  </si>
  <si>
    <t>1 - Completed functional and nonfunctional requirements for the SPPP document.
5 - Finalized risk management section and communicated with team members.
6 - Improved GitHub repository structure with core files.
7-prepare presentation.</t>
  </si>
  <si>
    <t>1. Finalized the submission of the SPPP document with requirements and risks.
2. Enhanced project structure on GitHub with relevant documentation.</t>
  </si>
  <si>
    <t>1. Need further proficiency with Django for code implementation.
2. More clarity required on task distribution.</t>
  </si>
  <si>
    <t>1. Continue working on Django tutorials and implement basic Django models.
2. Collaborate with team members for project planning.
3. Conduct next group meeting to finalize task distribution.</t>
  </si>
  <si>
    <t>09/27-10/03</t>
  </si>
  <si>
    <t>6 - Finalized database schema and implemented in the development environment.
3 - Developed Python scripts to scrape IMDB data and populate the database.
3 - Created initial data visualization features using JavaScript and ECharts.
4 - Conducted initial testing and debugging of the scraping and visualization functionalities.
5 - Conducted a review meeting to prepare for the final presentation.</t>
  </si>
  <si>
    <t>Implemented database schema for movie and review data.
Developed initial data visualization interface.</t>
  </si>
  <si>
    <t>Encountered challenges with data consistency during scraping.
Minor bugs in visualization scripts.</t>
  </si>
  <si>
    <t>Adjusted scraping scripts to improve data quality.
Debugged and refined visualization functionalities.</t>
  </si>
  <si>
    <t>Enhance visualization features.
Conduct comprehensive testing of the frontend.</t>
  </si>
  <si>
    <t>10/04-10/10</t>
  </si>
  <si>
    <t>3 - Enhanced data visualization capabilities with advanced ECharts features.
4 - Debugged and tested new visualization features to ensure data accuracy and presentation quality.
0 - Spent time learning advanced features of ECharts for dynamic visualizations.
5 - Weekly team meeting to discuss project progress and challenges.a</t>
  </si>
  <si>
    <t>Enhanced visualization features with dynamic elements.
Streamlined frontend-backend data integration.</t>
  </si>
  <si>
    <t>Issues with frontend performance under large data loads.
Some features not displaying data as expected.</t>
  </si>
  <si>
    <t>Optimized frontend code for better performance.
Corrected data mapping issues in JavaScript.</t>
  </si>
  <si>
    <t>Finalize documentation and prepare for project presentation.
Review all functionalities to ensure seamless operation.</t>
  </si>
  <si>
    <t>10/11-10/17</t>
  </si>
  <si>
    <t>1 - Completed all project documentation, outlining setup instructions, usage guides, and development process.
3 - Finalized presentation materials and ensured smooth integration of all project components.
5 - Final team meeting to discuss project completion and future steps.</t>
  </si>
  <si>
    <t>Completed comprehensive project documentation.
Prepared and rehearsed final project presentation.</t>
  </si>
  <si>
    <t>No significant issues, minor tweaks in presentation slides.</t>
  </si>
  <si>
    <t>Made final adjustments to presentation based on feedback.</t>
  </si>
  <si>
    <t>Present the final project.
Submit all project deliverables and documentation.</t>
  </si>
  <si>
    <t>10/18-10/24</t>
  </si>
  <si>
    <t>0 - Studied testing methodologies and automation frameworks relevant to the project.
3 - Integrated Docker configurations and executed trial runs within the Docker environment.
6 - Configured Docker Compose and Dockerfiles for seamless deployment.
6 - Organized and refined the GitHub repository for better project structure.</t>
  </si>
  <si>
    <t>Successfully added Docker integration, enabling the application to run within a Docker environment. Organized GitHub for efficient version control and deployment.</t>
  </si>
  <si>
    <t>Initial Docker Compose setup failed due to misconfigured ports.
Docker file had compatibility issues with the project’s dependencies, causing runtime errors.</t>
  </si>
  <si>
    <t>Adjust Docker Compose configurations, troubleshoot dependency errors, and ensure all services run smoothly within the Docker environment.</t>
  </si>
  <si>
    <t>Begin learning GitHub Actions and workflows, conduct backend code review, and resolve Docker startup issues.</t>
  </si>
  <si>
    <t>10/25-10/31</t>
  </si>
  <si>
    <t>0 - Learned GitHub Actions and workflows for automated processes.
4 - Conducted backend code review for the dashboard functionality.
6 - Resolved Docker startup issues, implemented database connection strategy.
4 - Planned the testing strategy to ensure coverage and reliability.</t>
  </si>
  <si>
    <t>Reviewed and refined backend code, established initial GitHub Actions workflows, and resolved critical Docker startup and database issues to enable a smooth development environment.</t>
  </si>
  <si>
    <t>GitHub Action workflows were not triggering as expected due to incorrect YAML syntax.
Docker startup encountered network issues, delaying the connection to the database.</t>
  </si>
  <si>
    <t>Refine YAML syntax for GitHub Actions to ensure proper workflow triggers. Investigate and resolve Docker network configuration for database connectivity.</t>
  </si>
  <si>
    <t>Finalize and deploy the GitHub Actions automated testing framework, publish Docker image on Docker Hub, and prepare for the next iteration’s presentation.</t>
  </si>
  <si>
    <t>11/01-11/07</t>
  </si>
  <si>
    <t>4 - Deployed the GitHub Actions-based automated testing framework for the project.
6 - Created and published Docker images to Docker Hub.
4 - Developed test scripts and configurations within YML files.
5 - Documented testing procedures and results in the STD document.
7 - Presented progress and outcomes for the second iteration.</t>
  </si>
  <si>
    <t>Implemented GitHub Actions for automated testing, streamlined Docker image management with Docker Hub, and documented the automated testing process in the STD document. Delivered a successful iteration 2 presentation.</t>
  </si>
  <si>
    <t>Some test cases failed to run within the GitHub Actions framework due to environment variable misconfigurations.
Docker Hub image encountered versioning conflicts, causing deployment delays.</t>
  </si>
  <si>
    <t>Resolve environment variable issues in GitHub Actions and implement version control practices for Docker images to avoid conflicts.</t>
  </si>
  <si>
    <t>Continue refining automated tests, improve Docker image versioning strategy, and work on additional user stories and acceptance tests for the project.</t>
  </si>
  <si>
    <t>Your Lead Roles: Requirement leader</t>
  </si>
  <si>
    <t>Individual Task Breakdown
 0 - learning
 1 - requirement analysis 
 2 - design
 3 - implementation
 4 - test
 5 - communication/management
 6 - configuration/environment
 7 - unclassified</t>
  </si>
  <si>
    <t>09/12-09/19</t>
  </si>
  <si>
    <t>0 - Learn git and github, read several tutorials;learn class notes
 1 - Get insipirations from similar project, brainstorm requirements 
 5 - Organize meeting minutes
 6 - Set up git and github
 7 - Research related work, learn requirements for project documentation</t>
  </si>
  <si>
    <t>1. Write Meeting Minutes-Kick Off meeting 
 2. Set up git, commit a modification on git, complete lab1
 3. Prepare for SPPP</t>
  </si>
  <si>
    <t>1.As a new team member this week, communication and task assignment is not quite clear yet.
 2.Not familiar with some knowledge like risk management, QA metrics</t>
  </si>
  <si>
    <t>1.Get more involved in the team and learn more about the requirements next week
2. Review the class notes</t>
  </si>
  <si>
    <t>0 - Continue to learn tutorials and notes
1 - Continue requirements analysis
3 - Set up relevant project enviroment
7 - Complete the related work research</t>
  </si>
  <si>
    <t>0 - Learn Django, read tutorials;learn class notes.
 1 - Collaborate with leader on requirements analysis, find differences between our project and other similar ones. 
 5 - Actively involved in meetings and communications by offering some ideas &amp; suggestions. 
 6 - Set up Django and all related project development environment.
 7 - Complete the research of similar products, prepare presentation iter0 and make a live demo if it is doable</t>
  </si>
  <si>
    <t>1. Write 1 section of SPPP 
 2. Set up project development environment
 3. Draft ppt and prepare for Iteration 0 presentation
 4. Design a live demo being connected to a real domain</t>
  </si>
  <si>
    <t>1. Not proficient with Django and other tools in framework, need more time to acquire some skills 
2. Task assignments in upcoming development is not clear yet.</t>
  </si>
  <si>
    <t>1. Finish Related tutorials in two weeks, be able to complete some tasks in Djano and Echart next week 
2. Be more active in the discussion toward task assignments.</t>
  </si>
  <si>
    <t>0 - Continue to learn related tools
1 - Continue to analyze requirements 
3 - Implement more advanced tasks on Django</t>
  </si>
  <si>
    <t>0 - Learned ideas about UI design and data visualizations online from multiple resources.
 1 - Researched requirements for the analysis of more detailed user stories and acceptance tests. 
 2 - Designed basic wire frame for the UI of our project.
 7 - Conducted testing in data scraper by beautiful soup and boost ideas about extracting movie data in more depth. 
 5 - Keep good communication with team members about new tools and our iter1 plan.</t>
  </si>
  <si>
    <t>Provided possibilities of more in depth data ETL 
 Developed initial UI version.</t>
  </si>
  <si>
    <t>1. Data not aboundant/varied enough for deeper analysis.
 2. Some bugs in UI design like contents not displaying right</t>
  </si>
  <si>
    <t>1. Do more research and test in scraping
 2. Debugged and refined design.</t>
  </si>
  <si>
    <t>Try to integrate front and back end</t>
  </si>
  <si>
    <t>0 - Spent time learning advanced features of tools like docker, my sql and django.
 2 - Designed and refined the version of our UI features.
 3 - Implemented UI design ideas based on bootstrap templates.
 4 - Debugged and tested frontend codes and their integration with back end.
 6 - Worked on local docker configurations when experimenting various kinds of codes in it.</t>
  </si>
  <si>
    <t>Rebuilt database source in docker.
 Enhanced frontend-backend data integration in docker.</t>
  </si>
  <si>
    <t>1.Faced app and db container connection challenges
 2.Integration issues in development</t>
  </si>
  <si>
    <t>1. Debug and experiment more with settings, dockerfile and yaml file.
 2. Debug and debug</t>
  </si>
  <si>
    <t>Finalize documentation and prepare for completing iter1 tasks</t>
  </si>
  <si>
    <t>1 - Completed related documentation, put requirements considerations into UI design 
 2 - Finalized iter 1 UI Design and worked on integrations with backend codes. 
 3 - Finalized code packaging and pushed them to github from local docker.
 4- Kept testing and debuging the issues in integrations.
 5 - Actively involved in group communications and be responsible for minutes take of 5th weekly meeting.
 6 - Completed Docker configurations and work really hard on solving various kinds of configuration issues involved in frontend backend integrations.</t>
  </si>
  <si>
    <t>Completed UI design for iter1 and comprehensive docker integration. Completed UI part in SDD documentation.</t>
  </si>
  <si>
    <t>1. Complicated configuration in front-back integration in docker.
 2. Heavier tasks in iter1</t>
  </si>
  <si>
    <t>1. Keep digging in practice configurations.
 2. Better time management</t>
  </si>
  <si>
    <t>Keep optimizing development</t>
  </si>
  <si>
    <t>1 - Reorganized requirements when developing the features 
  2 - Designed 2 visualizations and worked on integrations with backend codes. 
  4- Kept testing and debuging the issues in integrations.
  5 - Actively involved in group communications and prepare the team docs</t>
  </si>
  <si>
    <t>Completed dashboard Charts design and some interactive visualizaions;
Refactorred some code from previous versions.</t>
  </si>
  <si>
    <t>1. Not proficient in Ajax 
2. Debug Pagination of movie list</t>
  </si>
  <si>
    <t>Keep learning and practicing interactive integration</t>
  </si>
  <si>
    <t>Keep optimizing development/debugging</t>
  </si>
  <si>
    <t>0 - Spent time Learning CI CD and Automatted test methods
  2 - Design 3 visualizations and 1 table list with dynamic pagination and worked on integrations with backend codes. 
  4 - Kept testing and debuging the issues in integrations.
  5 - Actively involved in group communications and competed team docs on drive about docker use and github workflow.</t>
  </si>
  <si>
    <t>Completed two team docs on docker and workflow;
Completed general development for dashboard</t>
  </si>
  <si>
    <t xml:space="preserve">
1.Interactive top chart debugging</t>
  </si>
  <si>
    <t>last week issues solved</t>
  </si>
  <si>
    <t>1 - Updated related documentation, update some requirements 
  2 - Finalized iter 2 Dashboard design and worked on integrations with backend codes. 
  3 - Finalized iter 2 packaging and pushed them to github from local docker.
  4- Kept testing and debuging the issues in integrations.Completed automated e2e test in docker, plan to commit to hub
  5 - Actively involved in group communications 
  6 - Completed test container configurations and worked on solving various kinds of configuration issues involved 
  7 - Made demo and participated in iter2 presentation</t>
  </si>
  <si>
    <t>Completed Iter 2 dashboard deploymentation;
 Completed part 2 in Presentation,
 Completed related docs for iter2
 Completed automatted test implementation in my local docker 
 Made demo</t>
  </si>
  <si>
    <t>Complicated auto test implementation in docker</t>
  </si>
  <si>
    <t>Practice more and last week issues solved</t>
  </si>
  <si>
    <t>Keep optimizing development, Learn more about tesing</t>
  </si>
  <si>
    <r>
      <rPr>
        <rFont val="Arial"/>
        <b/>
      </rPr>
      <t>Your Lead Roles</t>
    </r>
    <r>
      <rPr>
        <rFont val="Arial"/>
      </rPr>
      <t>: Security Leader</t>
    </r>
  </si>
  <si>
    <t>0 - get familiar with git
1 - define high level requirements
5 - team meeting
6 - set up git</t>
  </si>
  <si>
    <t>1. Set up git, commit a test message on git</t>
  </si>
  <si>
    <t>1. Tasks assignements among each team members
2. Reports Writing</t>
  </si>
  <si>
    <t>09/19 - 09/26</t>
  </si>
  <si>
    <t>0 - get familiar with django
1 - define high level requirements
5 - team meeting
6 - set up git
7 - researching and report writing</t>
  </si>
  <si>
    <t>1. Write Management Plan section is SPPP
2. Complete Risk Management Spreadsheet</t>
  </si>
  <si>
    <t>1. Clear individual tasks assignements
2. Project Design</t>
  </si>
  <si>
    <t>0 - get familiar with Jira
2 - security testing design
5 - team meeting
6 - set up Jira
7 - researching and report writing</t>
  </si>
  <si>
    <t>1.Gained familiarity with Jira for task management.
2. Started initial security testing
3. Prepared team agenda and documentation.
4.Completed environment adjustments and set up initial configurations</t>
  </si>
  <si>
    <t>Encountered some minor configuration issues during environment setup, but resolved them quickly.</t>
  </si>
  <si>
    <t>Configuration issues were resolved. No major blockers.</t>
  </si>
  <si>
    <t>1. Continue with security testing and debugging.
2. Finalize task assignments among the team for the next phase.</t>
  </si>
  <si>
    <t>3 - define user stories 
3 - implement security testing unit testing
5 - team meeting
7 - researching and reporting writing</t>
  </si>
  <si>
    <t>1. Studied security testing tools and best practices.
2. Began security testing implementation for critical features.
3. Conducted team meetings and finalized documentation
4. Implemented additional configuration changes to optimize the environment.</t>
  </si>
  <si>
    <t>Faced difficulties with the security testing tools integration.</t>
  </si>
  <si>
    <t>Security testing integration issues identified and being worked on.</t>
  </si>
  <si>
    <t>1. Complete security testing implementation.
2. Work on resolving environment configuration issues.</t>
  </si>
  <si>
    <t>3 - enrich user stories 
5 - team meeting
7 - researching and reporting writing, presentation preparation</t>
  </si>
  <si>
    <t>1. Continued learning Jira for more advanced usage.
2. Reviewed security test results.
3. Continued security testing and debugging.
4. Further team discussions for project progress updates
5. Environment refinements based on testing feedback.
6. Iteration 1 presentation</t>
  </si>
  <si>
    <t>Ongoing security test issues related to configuration conflicts.</t>
  </si>
  <si>
    <t>Configuration conflicts in security testing continue to be addressed, ongoing troubleshooting.</t>
  </si>
  <si>
    <t>1. Wrap up security testing and start preparing the final report.
2. Plan for the next set of implementation tasks.</t>
  </si>
  <si>
    <t>1 - define high level requirements
2 - new feature design
3 - new feature initial implementation for team integeration
5 - team meeting</t>
  </si>
  <si>
    <t xml:space="preserve">1. new feature ideas for team project </t>
  </si>
  <si>
    <t>1. starting new feature code writing
2. initialize branch merging</t>
  </si>
  <si>
    <t>1 - define high level requirements
2 - new feature enhance design
3 - new feature implementation for team integeration
4 - new feature testing 
5 - team meeting
6 - facing new configuration issue</t>
  </si>
  <si>
    <t>1. new feature initial implementation for team integeration</t>
  </si>
  <si>
    <t>1. complete new feature to local runnable 
2. new branch merging</t>
  </si>
  <si>
    <t>11/1-11/7</t>
  </si>
  <si>
    <t>3 - new feature final implementation
4 - new feature final testing 
5 - team meeting
6 - local terminal configuration issue
7 - researching and reporting writing, presentation preparation</t>
  </si>
  <si>
    <t>1. new feature implementation 
2. iteration presentation and preparation</t>
  </si>
  <si>
    <t>encounter new issue when exporting project from github and try to run on pc, 
faced local configuration issue mostly about termial setting and packages installing/configuration,
also some local pc fitting unique code adjustment</t>
  </si>
  <si>
    <t>issue resolved</t>
  </si>
  <si>
    <t>1. new feature enhancement
2. complete branch merging and runnable
3. more security feature</t>
  </si>
  <si>
    <r>
      <rPr>
        <rFont val="Arial"/>
        <b/>
      </rPr>
      <t>Your Lead Roles</t>
    </r>
    <r>
      <rPr>
        <rFont val="Arial"/>
      </rPr>
      <t>: QA Leader</t>
    </r>
  </si>
  <si>
    <t>0 - learn git 
5 - make project plan, find other teammates
6 - set up git
7 - research similar products,</t>
  </si>
  <si>
    <t>Set up git, commit a test message on git</t>
  </si>
  <si>
    <t>1. not familar with Django framework, hard to write any code on it
2. communication is not clear. Task assignments is not clear.</t>
  </si>
  <si>
    <t>finish all these questions</t>
  </si>
  <si>
    <t>1 - continue to define requirements
2.write sppp</t>
  </si>
  <si>
    <t>0 - learning how to provide a better project. 
2 - design sppp
5 - communicate with other team members, about how to manage the team work,  and which part should members do
7 - relate some other knowledge, like how to test</t>
  </si>
  <si>
    <t>don't know how to fix sppp part 6</t>
  </si>
  <si>
    <t>9/27-10/03</t>
  </si>
  <si>
    <t xml:space="preserve">0 - Get familiar with Jira
1 - Break down project requirements into testable components
5 - Discuss task allocations and set up early QA strategies in team meeting
7 - Research Jira best practices and summarize findings for the team
</t>
  </si>
  <si>
    <t>Set up Jira for task tracking.
Contributed to requirement analysis by identifying testable components.
Participated in team discussions on early QA strategies.
Researched Jira best practices and documented for the team.</t>
  </si>
  <si>
    <t>Learning curve with Jira's advanced features.
Lack of clarity on certain testing requirements.</t>
  </si>
  <si>
    <t>Plan to allocate more time to Jira learning sessions and seek help from experienced team members.
Clarify testing requirements in the next team meeting with the project lead.</t>
  </si>
  <si>
    <t>Begin security testing design.</t>
  </si>
  <si>
    <t>2 - Draft a security testing plan focusing on vulnerabilities
5 - Finalize testing strategies and present the security test design in team meeting
6 - Configure Jira for bug tracking and test case management
7 - Research security testing frameworks and refine the test plan</t>
  </si>
  <si>
    <t>Drafted the security testing plan.
Completed Jira configuration for bug tracking and test case management.
Refined the test plan based on the research of security frameworks.</t>
  </si>
  <si>
    <t>Delays in defining specific security testing requirements.
Complexity in configuring Jira for detailed test case tracking.</t>
  </si>
  <si>
    <t>Plan to finalize security testing requirements during the team meeting.
Collaborate with team members to streamline the Jira setup and ensure functionality.</t>
  </si>
  <si>
    <t>Finalize security testing design.
Begin developing security test cases.
Debug early implementations of the project.</t>
  </si>
  <si>
    <t>2 - Finalize and ensure coverage of key security risks
3 - Develop and integrate automated security tests
4 - Debug security-related issues during testing
5 - Provide updates on testing progress and discuss unresolved issues in team meeting
7 - Complete a detailed report on security test outcomes</t>
  </si>
  <si>
    <t>Finalized security testing plan.
Developed and integrated initial security test cases.
Debugged security-related issues during testing.
Provided updates on testing progress during team meetings.</t>
  </si>
  <si>
    <t>Minor bugs encountered during security testing integration.
Need for more comprehensive test cases for some security scenarios.</t>
  </si>
  <si>
    <t>Continue debugging security issues and expand test cases.
Work closely with the development team to resolve integration issues.</t>
  </si>
  <si>
    <t>Complete full security testing of core features.
Review and finalize testing documentation.
Provide a detailed report on test outcomes and remaining issues.</t>
  </si>
  <si>
    <t>2 - Designed initial word cloud structure in sentiment module.
3 - Implemented core word cloud functions.
4 - Initial testing of sentiment-word cloud integration.
5 - Weekly meetings and task coordination.
6 - Set up Docker for sentiment module.</t>
  </si>
  <si>
    <t>1. Developed and tested initial word cloud functionality in sentiment.
2. Completed Docker setup and initial environment configuration.</t>
  </si>
  <si>
    <t>Initial difficulty integrating word cloud with sentiment module and setting up Docker.</t>
  </si>
  <si>
    <t>Continue testing sentiment features.
Refine word cloud visualization.
Enhance Docker setup if needed.</t>
  </si>
  <si>
    <t>2 - Refined design for word cloud layout.
3 - Completed sentiment and word cloud feature implementation.
4 - Conducted sentiment and word cloud testing.
5 - Weekly meetings for progress updates.
6 - Enhanced Docker environment configuration.</t>
  </si>
  <si>
    <t>1. Finalized design and implemented enhancements to word cloud.
2. Improved Docker compatibility for sentiment and word cloud.</t>
  </si>
  <si>
    <t>Minor bugs in word cloud display and Docker environment compatibility.</t>
  </si>
  <si>
    <t>Fixed word cloud bugs and improved Docker setup for compatibility.</t>
  </si>
  <si>
    <t>Collaborate on final debugging.
Complete Docker optimization and finalize word cloud details.</t>
  </si>
  <si>
    <t>3 - Final testing of word cloud and sentiment features.
5 - Weekly meetings and presentation preparation.
4 - Debugged and resolved remaining issues in sentiment.
6 - Finalized Docker setup and conducted environment checks.
6 - Delivered project presentation.</t>
  </si>
  <si>
    <t>1. Delivered presentation on sentiment analysis and word cloud features.
2. Finalized Docker setup and conducted end-to-end testing.</t>
  </si>
  <si>
    <t>Time constraints in presentation preparation and testing final functionalities.</t>
  </si>
  <si>
    <t>Managed time to complete presentation and finalize testing for all components.</t>
  </si>
  <si>
    <t>Finalize project documentation and testing for sentiment, word cloud, and Docker environment.</t>
  </si>
  <si>
    <r>
      <rPr>
        <rFont val="Arial"/>
        <b/>
        <color rgb="FF000000"/>
        <sz val="10.0"/>
      </rPr>
      <t xml:space="preserve">Your Lead Roles: </t>
    </r>
    <r>
      <rPr>
        <rFont val="Arial"/>
        <b val="0"/>
        <color rgb="FF000000"/>
        <sz val="10.0"/>
      </rPr>
      <t>Configuration Leader</t>
    </r>
  </si>
  <si>
    <t>Wee
k #</t>
  </si>
  <si>
    <t>Total
actual
time of
this
week
tasks
(h)</t>
  </si>
  <si>
    <t>Total
Individua
l work
time</t>
  </si>
  <si>
    <t>Total
group
meetin
g time</t>
  </si>
  <si>
    <t>Individual Task Breakdown
0 - learning
1 - requirement analysis
2 - design
3 - implementation
4 - test
5 - communication/management
6 - configuration/environment
7 - unclassified</t>
  </si>
  <si>
    <t>time
for
type
0
tasks</t>
  </si>
  <si>
    <t>time
for
type 1
tasks</t>
  </si>
  <si>
    <t>time
for
type 2
tasks</t>
  </si>
  <si>
    <t>time
for
type 3
tasks</t>
  </si>
  <si>
    <t>time
for
type 4
tasks</t>
  </si>
  <si>
    <t>time
for
type 5
tasks</t>
  </si>
  <si>
    <t>time
for
type 6
tasks</t>
  </si>
  <si>
    <t>time
for
type
7
tasks</t>
  </si>
  <si>
    <t>Project Deliverable
Contribution</t>
  </si>
  <si>
    <t>Estimated tasks for
next week</t>
  </si>
  <si>
    <t>Total
estima
ted
time</t>
  </si>
  <si>
    <t>0 - learn git and django, read several
tutorials
5 - make project plan, send reminders to
team member
7 - research similar products, prepare
presentation</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</si>
  <si>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</si>
  <si>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</si>
  <si>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</si>
  <si>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</si>
  <si>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9/19-9/26</t>
  </si>
  <si>
    <t>2 - Design  Design the configuration management process for the project
6.Initializing and setting up the Git remote repository.</t>
  </si>
  <si>
    <t>1. Write Management Plan section is SPPP</t>
  </si>
  <si>
    <t>none</t>
  </si>
  <si>
    <t>1.project design</t>
  </si>
  <si>
    <t xml:space="preserve">
10/04-10/10</t>
  </si>
  <si>
    <t xml:space="preserve">
5 - Weekly team meeting to discuss project progress and challenges.
7-prepare presentation.</t>
  </si>
  <si>
    <t>1.prepare the presentation.</t>
  </si>
  <si>
    <t>3 - finished presentation part 123
5 - Final team meeting to discuss project completion and future steps.</t>
  </si>
  <si>
    <t>1prepare the final project testing</t>
  </si>
  <si>
    <t>1 Finalized configuration settings for production deployment.
2 Conducted performance testing to ensure scalability under high loads.
3 Implemented new data validation logic to secure user input.
4 Held a project debrief to summarize lessons learned and next steps.</t>
  </si>
  <si>
    <t>1 Researched database optimization techniques to improve query performance.
2 Enhanced data validation protocols for better data integrity.
3 Refined project structure and updated the README file with essential information.</t>
  </si>
  <si>
    <t>10/25 -10/31</t>
  </si>
  <si>
    <t>1 Studied and applied version control best practices for collaborative development.
2 Integrated GitHub Actions with CI/CD pipeline for automated builds and testing.
3 Optimized database queries to reduce load time and enhance performance.</t>
  </si>
  <si>
    <t>Integrated continuous deployment workflows using GitHub Actions for streamlined updates.</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</si>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</sst>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color rgb="FFFF0000"/>
      <name val="Arial"/>
    </font>
    <font>
      <b/>
      <name val="Arial"/>
    </font>
    <font>
      <b/>
    </font>
    <font>
      <b/>
      <color rgb="FFFF0000"/>
    </font>
    <font/>
    <font>
      <name val="Arial"/>
    </font>
    <font>
      <b/>
      <color rgb="FF000000"/>
      <name val="Arial"/>
    </font>
    <font>
      <color rgb="FF000000"/>
      <name val="Arial"/>
    </font>
    <font>
      <sz val="10.0"/>
      <name val="Arial"/>
    </font>
    <font>
      <b/>
      <sz val="10.0"/>
      <color rgb="FF000000"/>
      <name val="Arial"/>
    </font>
    <font>
      <color rgb="FFFF0000"/>
      <name val="Arial"/>
    </font>
    <font>
      <b/>
      <name val="Calibri"/>
    </font>
  </fonts>
  <fills count="2">
    <fill>
      <patternFill patternType="none"/>
    </fill>
    <fill>
      <patternFill patternType="lightGray"/>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vertical="bottom"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6" numFmtId="0" xfId="0" applyAlignment="1" applyFont="1">
      <alignment horizontal="right" readingOrder="0" vertical="bottom"/>
    </xf>
    <xf borderId="0" fillId="0" fontId="6" numFmtId="0" xfId="0" applyAlignment="1" applyFont="1">
      <alignment readingOrder="0" vertical="bottom"/>
    </xf>
    <xf borderId="0" fillId="0" fontId="7" numFmtId="0" xfId="0" applyAlignment="1" applyFont="1">
      <alignment readingOrder="0" shrinkToFit="0" vertical="bottom" wrapText="1"/>
    </xf>
    <xf borderId="0" fillId="0" fontId="2"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0" fontId="8" numFmtId="0" xfId="0" applyAlignment="1" applyFont="1">
      <alignment shrinkToFit="0" vertical="bottom" wrapText="0"/>
    </xf>
    <xf borderId="0" fillId="0" fontId="6" numFmtId="0" xfId="0" applyAlignment="1" applyFont="1">
      <alignment horizontal="right" readingOrder="0" shrinkToFit="0" vertical="bottom" wrapText="0"/>
    </xf>
    <xf borderId="0" fillId="0" fontId="8" numFmtId="0" xfId="0" applyAlignment="1" applyFont="1">
      <alignment horizontal="right" readingOrder="0" shrinkToFit="0" vertical="bottom" wrapText="0"/>
    </xf>
    <xf borderId="0" fillId="0" fontId="5" numFmtId="0" xfId="0" applyAlignment="1" applyFont="1">
      <alignment shrinkToFit="0" wrapText="1"/>
    </xf>
    <xf borderId="0" fillId="0" fontId="6" numFmtId="0" xfId="0" applyAlignment="1" applyFont="1">
      <alignment readingOrder="0" shrinkToFit="0" vertical="bottom" wrapText="1"/>
    </xf>
    <xf borderId="0" fillId="0" fontId="6" numFmtId="0" xfId="0" applyAlignment="1" applyFont="1">
      <alignment vertical="bottom"/>
    </xf>
    <xf borderId="0" fillId="0" fontId="2" numFmtId="0" xfId="0" applyAlignment="1" applyFont="1">
      <alignment shrinkToFit="0" vertical="bottom" wrapText="1"/>
    </xf>
    <xf borderId="1" fillId="0" fontId="2" numFmtId="0" xfId="0" applyAlignment="1" applyBorder="1" applyFont="1">
      <alignment shrinkToFit="0" vertical="bottom" wrapText="1"/>
    </xf>
    <xf borderId="0" fillId="0" fontId="8" numFmtId="0" xfId="0" applyAlignment="1" applyFont="1">
      <alignment horizontal="right" readingOrder="0" vertical="bottom"/>
    </xf>
    <xf borderId="0" fillId="0" fontId="8" numFmtId="0" xfId="0" applyAlignment="1" applyFont="1">
      <alignment readingOrder="0" vertical="bottom"/>
    </xf>
    <xf borderId="0" fillId="0" fontId="8" numFmtId="0" xfId="0" applyAlignment="1" applyFont="1">
      <alignment readingOrder="0" shrinkToFit="0" vertical="bottom" wrapText="1"/>
    </xf>
    <xf borderId="0" fillId="0" fontId="8" numFmtId="0" xfId="0" applyAlignment="1" applyFont="1">
      <alignment vertical="bottom"/>
    </xf>
    <xf borderId="0" fillId="0" fontId="8" numFmtId="0" xfId="0" applyAlignment="1" applyFont="1">
      <alignment horizontal="right" readingOrder="0" shrinkToFit="0" vertical="bottom" wrapText="1"/>
    </xf>
    <xf borderId="0" fillId="0" fontId="8" numFmtId="0" xfId="0" applyAlignment="1" applyFont="1">
      <alignment shrinkToFit="0" vertical="bottom" wrapText="1"/>
    </xf>
    <xf borderId="0" fillId="0" fontId="8" numFmtId="0" xfId="0" applyAlignment="1" applyFont="1">
      <alignment readingOrder="0" shrinkToFit="0" vertical="bottom" wrapText="0"/>
    </xf>
    <xf borderId="0" fillId="0" fontId="2" numFmtId="0" xfId="0" applyAlignment="1" applyFont="1">
      <alignment readingOrder="0" vertical="bottom"/>
    </xf>
    <xf borderId="0" fillId="0" fontId="6"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6" numFmtId="0" xfId="0" applyAlignment="1" applyFont="1">
      <alignment horizontal="righ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shrinkToFit="0" wrapText="0"/>
    </xf>
    <xf borderId="0" fillId="0" fontId="8"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shrinkToFit="0" vertical="bottom" wrapText="1"/>
    </xf>
    <xf borderId="0" fillId="0" fontId="8" numFmtId="0" xfId="0" applyAlignment="1" applyFont="1">
      <alignment vertical="bottom"/>
    </xf>
    <xf borderId="0" fillId="0" fontId="9" numFmtId="0" xfId="0" applyAlignment="1" applyFont="1">
      <alignment shrinkToFit="0" wrapText="1"/>
    </xf>
    <xf borderId="0" fillId="0" fontId="10" numFmtId="0" xfId="0" applyAlignment="1" applyFont="1">
      <alignment horizontal="left" readingOrder="0" shrinkToFit="0" vertical="bottom" wrapText="1"/>
    </xf>
    <xf borderId="0" fillId="0" fontId="0" numFmtId="0" xfId="0" applyAlignment="1" applyFont="1">
      <alignment horizontal="left" shrinkToFit="0" vertical="top" wrapText="1"/>
    </xf>
    <xf borderId="0" fillId="0" fontId="10" numFmtId="0" xfId="0" applyAlignment="1" applyFont="1">
      <alignment horizontal="center" readingOrder="0" shrinkToFit="0" vertical="bottom" wrapText="1"/>
    </xf>
    <xf borderId="0" fillId="0" fontId="10" numFmtId="0" xfId="0" applyAlignment="1" applyFont="1">
      <alignment horizontal="left" readingOrder="0" shrinkToFit="0" vertical="top" wrapText="1"/>
    </xf>
    <xf borderId="0" fillId="0" fontId="0" numFmtId="0" xfId="0" applyAlignment="1" applyFont="1">
      <alignment horizontal="right" readingOrder="0" shrinkToFit="0" vertical="bottom" wrapText="1"/>
    </xf>
    <xf borderId="0" fillId="0" fontId="0" numFmtId="0" xfId="0" applyAlignment="1" applyFont="1">
      <alignment horizontal="center" readingOrder="0" shrinkToFit="0" vertical="bottom" wrapText="1"/>
    </xf>
    <xf borderId="0" fillId="0" fontId="0" numFmtId="0" xfId="0" applyAlignment="1" applyFont="1">
      <alignment horizontal="left" readingOrder="0" shrinkToFit="0" vertical="top" wrapText="1"/>
    </xf>
    <xf borderId="0" fillId="0" fontId="0" numFmtId="0" xfId="0" applyAlignment="1" applyFont="1">
      <alignment horizontal="right" readingOrder="0" shrinkToFit="0" vertical="top" wrapText="1"/>
    </xf>
    <xf borderId="0" fillId="0" fontId="0" numFmtId="0" xfId="0" applyAlignment="1" applyFont="1">
      <alignment horizontal="right" shrinkToFit="0" vertical="top" wrapText="1"/>
    </xf>
    <xf borderId="0" fillId="0" fontId="9" numFmtId="0" xfId="0" applyAlignment="1" applyFont="1">
      <alignment readingOrder="0" shrinkToFit="0" wrapText="1"/>
    </xf>
    <xf borderId="2" fillId="0" fontId="1" numFmtId="0" xfId="0" applyAlignment="1" applyBorder="1" applyFont="1">
      <alignment readingOrder="0" shrinkToFit="0" vertical="top" wrapText="0"/>
    </xf>
    <xf borderId="2" fillId="0" fontId="11" numFmtId="0" xfId="0" applyAlignment="1" applyBorder="1" applyFont="1">
      <alignment vertical="top"/>
    </xf>
    <xf borderId="0" fillId="0" fontId="11" numFmtId="0" xfId="0" applyAlignment="1" applyFont="1">
      <alignment vertical="bottom"/>
    </xf>
    <xf borderId="0" fillId="0" fontId="2" numFmtId="0" xfId="0" applyAlignment="1" applyFont="1">
      <alignment shrinkToFit="0" vertical="top" wrapText="1"/>
    </xf>
    <xf borderId="0" fillId="0" fontId="12" numFmtId="0" xfId="0" applyAlignment="1" applyFont="1">
      <alignment vertical="top"/>
    </xf>
    <xf borderId="2" fillId="0" fontId="12" numFmtId="0" xfId="0" applyAlignment="1" applyBorder="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3.5"/>
    <col customWidth="1" min="4" max="4" width="22.13"/>
    <col customWidth="1" min="5" max="5" width="25.75"/>
    <col customWidth="1" min="6" max="6" width="27.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 customWidth="1" min="22" max="22" width="9.88"/>
  </cols>
  <sheetData>
    <row r="1">
      <c r="A1" s="1" t="s">
        <v>0</v>
      </c>
      <c r="B1" s="2"/>
      <c r="C1" s="3"/>
      <c r="D1" s="4"/>
      <c r="E1" s="4"/>
      <c r="F1" s="4"/>
      <c r="G1" s="3"/>
      <c r="H1" s="3"/>
      <c r="I1" s="3"/>
      <c r="J1" s="3"/>
      <c r="K1" s="3"/>
      <c r="L1" s="2"/>
      <c r="M1" s="2"/>
      <c r="N1" s="2"/>
      <c r="O1" s="5"/>
      <c r="P1" s="5"/>
      <c r="Q1" s="5"/>
      <c r="R1" s="5"/>
      <c r="S1" s="5"/>
      <c r="T1" s="5"/>
      <c r="U1" s="5"/>
      <c r="V1" s="6"/>
      <c r="W1" s="6"/>
      <c r="X1" s="6"/>
      <c r="Y1" s="6"/>
      <c r="Z1" s="6"/>
      <c r="AA1" s="6"/>
    </row>
    <row r="2" ht="30.0" customHeight="1">
      <c r="A2" s="1" t="s">
        <v>1</v>
      </c>
      <c r="B2" s="2"/>
      <c r="C2" s="3"/>
      <c r="D2" s="4"/>
      <c r="E2" s="4"/>
      <c r="F2" s="4"/>
      <c r="G2" s="3"/>
      <c r="H2" s="3"/>
      <c r="I2" s="3"/>
      <c r="J2" s="3"/>
      <c r="K2" s="3"/>
      <c r="L2" s="2"/>
      <c r="M2" s="2"/>
      <c r="N2" s="2"/>
      <c r="O2" s="5"/>
      <c r="P2" s="5"/>
      <c r="Q2" s="5"/>
      <c r="R2" s="5"/>
      <c r="S2" s="5"/>
      <c r="T2" s="5"/>
      <c r="U2" s="5"/>
      <c r="V2" s="6"/>
      <c r="W2" s="6"/>
      <c r="X2" s="6"/>
      <c r="Y2" s="6"/>
      <c r="Z2" s="6"/>
      <c r="AA2" s="6"/>
    </row>
    <row r="3">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2" t="s">
        <v>23</v>
      </c>
      <c r="W3" s="7" t="s">
        <v>24</v>
      </c>
      <c r="X3" s="6"/>
      <c r="Y3" s="6"/>
      <c r="Z3" s="6"/>
      <c r="AA3" s="6"/>
    </row>
    <row r="4">
      <c r="A4" s="8">
        <v>0.0</v>
      </c>
      <c r="B4" s="8" t="s">
        <v>25</v>
      </c>
      <c r="C4" s="8" t="s">
        <v>26</v>
      </c>
      <c r="D4" s="8" t="s">
        <v>27</v>
      </c>
      <c r="E4" s="8" t="s">
        <v>28</v>
      </c>
      <c r="F4" s="8" t="s">
        <v>29</v>
      </c>
      <c r="G4" s="9">
        <v>0.0</v>
      </c>
      <c r="H4" s="9">
        <v>7.0</v>
      </c>
      <c r="I4" s="9">
        <v>8.0</v>
      </c>
      <c r="J4" s="9">
        <v>4.0</v>
      </c>
      <c r="K4" s="9">
        <v>4.0</v>
      </c>
      <c r="L4" s="9">
        <v>72.0</v>
      </c>
      <c r="M4" s="9">
        <v>70.0</v>
      </c>
      <c r="N4" s="9">
        <v>2.0</v>
      </c>
      <c r="O4" s="9">
        <v>22.0</v>
      </c>
      <c r="P4" s="9">
        <v>11.0</v>
      </c>
      <c r="Q4" s="9">
        <v>2.0</v>
      </c>
      <c r="R4" s="9">
        <v>0.0</v>
      </c>
      <c r="S4" s="9">
        <v>0.0</v>
      </c>
      <c r="T4" s="9">
        <v>8.0</v>
      </c>
      <c r="U4" s="9">
        <v>12.0</v>
      </c>
    </row>
    <row r="5">
      <c r="A5" s="10">
        <v>1.0</v>
      </c>
      <c r="B5" s="11" t="s">
        <v>30</v>
      </c>
      <c r="C5" s="2" t="s">
        <v>31</v>
      </c>
      <c r="D5" s="12" t="s">
        <v>32</v>
      </c>
      <c r="E5" s="13" t="s">
        <v>33</v>
      </c>
      <c r="F5" s="12" t="s">
        <v>34</v>
      </c>
      <c r="G5" s="14">
        <v>5.0</v>
      </c>
      <c r="H5" s="14">
        <v>5.0</v>
      </c>
      <c r="I5" s="15"/>
      <c r="J5" s="15"/>
      <c r="K5" s="14">
        <v>2.0</v>
      </c>
      <c r="L5" s="16">
        <v>139.5</v>
      </c>
      <c r="M5" s="16">
        <v>136.0</v>
      </c>
      <c r="N5" s="17">
        <v>3.5</v>
      </c>
      <c r="O5" s="17">
        <v>14.0</v>
      </c>
      <c r="P5" s="17">
        <v>9.0</v>
      </c>
      <c r="Q5" s="17">
        <v>17.0</v>
      </c>
      <c r="R5" s="17">
        <v>35.0</v>
      </c>
      <c r="S5" s="17">
        <v>17.0</v>
      </c>
      <c r="T5" s="17">
        <v>18.0</v>
      </c>
      <c r="U5" s="17">
        <v>21.0</v>
      </c>
      <c r="V5" s="17">
        <v>18.5</v>
      </c>
      <c r="X5" s="15"/>
      <c r="Y5" s="15"/>
      <c r="Z5" s="15"/>
      <c r="AA5" s="15"/>
    </row>
    <row r="6">
      <c r="A6" s="8">
        <v>2.0</v>
      </c>
      <c r="B6" s="8" t="s">
        <v>35</v>
      </c>
      <c r="C6" s="8" t="s">
        <v>36</v>
      </c>
      <c r="D6" s="8" t="s">
        <v>37</v>
      </c>
      <c r="E6" s="8" t="s">
        <v>38</v>
      </c>
      <c r="F6" s="8" t="s">
        <v>39</v>
      </c>
      <c r="G6" s="9">
        <v>43.0</v>
      </c>
      <c r="H6" s="9">
        <v>5.0</v>
      </c>
      <c r="I6" s="9">
        <v>3.0</v>
      </c>
      <c r="J6" s="9">
        <v>2.0</v>
      </c>
      <c r="K6" s="9">
        <v>3.0</v>
      </c>
      <c r="L6" s="9">
        <v>171.5</v>
      </c>
      <c r="M6" s="9">
        <v>154.0</v>
      </c>
      <c r="N6" s="9">
        <v>3.5</v>
      </c>
      <c r="O6" s="9">
        <v>11.0</v>
      </c>
      <c r="P6" s="9">
        <v>6.0</v>
      </c>
      <c r="Q6" s="9">
        <v>23.0</v>
      </c>
      <c r="R6" s="9">
        <v>34.5</v>
      </c>
      <c r="S6" s="9">
        <v>34.0</v>
      </c>
      <c r="T6" s="9">
        <v>19.0</v>
      </c>
      <c r="U6" s="9">
        <v>27.0</v>
      </c>
      <c r="V6" s="9">
        <v>10.0</v>
      </c>
    </row>
    <row r="7">
      <c r="A7" s="8">
        <v>3.0</v>
      </c>
      <c r="B7" s="18"/>
      <c r="C7" s="18"/>
    </row>
    <row r="8">
      <c r="A8" s="8"/>
      <c r="B8" s="18"/>
      <c r="C8" s="18"/>
    </row>
    <row r="9">
      <c r="A9" s="8"/>
      <c r="B9" s="18"/>
      <c r="C9" s="18"/>
    </row>
    <row r="10">
      <c r="A10" s="18"/>
      <c r="B10" s="18"/>
      <c r="C10" s="18"/>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7.75"/>
    <col customWidth="1" min="15" max="15" width="20.75"/>
    <col customWidth="1" min="16" max="16" width="22.88"/>
    <col customWidth="1" min="17" max="17" width="19.5"/>
    <col customWidth="1" min="18" max="18" width="20.5"/>
  </cols>
  <sheetData>
    <row r="1">
      <c r="F1" s="18"/>
    </row>
    <row r="2">
      <c r="A2" s="19" t="s">
        <v>40</v>
      </c>
      <c r="G2" s="20"/>
      <c r="H2" s="20"/>
      <c r="I2" s="20"/>
      <c r="J2" s="20"/>
      <c r="K2" s="20"/>
      <c r="L2" s="20"/>
      <c r="M2" s="20"/>
      <c r="N2" s="20"/>
      <c r="O2" s="20"/>
      <c r="P2" s="20"/>
      <c r="Q2" s="20"/>
      <c r="R2" s="20"/>
      <c r="S2" s="20"/>
      <c r="T2" s="20"/>
      <c r="U2" s="20"/>
      <c r="V2" s="20"/>
      <c r="W2" s="20"/>
      <c r="X2" s="20"/>
      <c r="Y2" s="20"/>
      <c r="Z2" s="20"/>
    </row>
    <row r="3">
      <c r="A3" s="5" t="s">
        <v>41</v>
      </c>
      <c r="B3" s="5" t="s">
        <v>3</v>
      </c>
      <c r="C3" s="5" t="s">
        <v>42</v>
      </c>
      <c r="D3" s="5" t="s">
        <v>43</v>
      </c>
      <c r="E3" s="5" t="s">
        <v>44</v>
      </c>
      <c r="F3" s="5" t="s">
        <v>45</v>
      </c>
      <c r="G3" s="5" t="s">
        <v>16</v>
      </c>
      <c r="H3" s="5" t="s">
        <v>17</v>
      </c>
      <c r="I3" s="5" t="s">
        <v>18</v>
      </c>
      <c r="J3" s="5" t="s">
        <v>19</v>
      </c>
      <c r="K3" s="5" t="s">
        <v>20</v>
      </c>
      <c r="L3" s="5" t="s">
        <v>21</v>
      </c>
      <c r="M3" s="5" t="s">
        <v>22</v>
      </c>
      <c r="N3" s="5" t="s">
        <v>23</v>
      </c>
      <c r="O3" s="5" t="s">
        <v>46</v>
      </c>
      <c r="P3" s="21" t="s">
        <v>47</v>
      </c>
      <c r="Q3" s="21" t="s">
        <v>48</v>
      </c>
      <c r="R3" s="5" t="s">
        <v>49</v>
      </c>
      <c r="S3" s="22" t="s">
        <v>50</v>
      </c>
      <c r="T3" s="20"/>
      <c r="U3" s="20"/>
      <c r="V3" s="20"/>
      <c r="W3" s="20"/>
      <c r="X3" s="20"/>
      <c r="Y3" s="20"/>
      <c r="Z3" s="20"/>
    </row>
    <row r="4">
      <c r="A4" s="23">
        <v>1.0</v>
      </c>
      <c r="B4" s="24" t="s">
        <v>51</v>
      </c>
      <c r="C4" s="23">
        <v>7.0</v>
      </c>
      <c r="D4" s="23">
        <v>5.0</v>
      </c>
      <c r="E4" s="23">
        <v>2.0</v>
      </c>
      <c r="F4" s="25" t="s">
        <v>52</v>
      </c>
      <c r="G4" s="23">
        <v>3.0</v>
      </c>
      <c r="H4" s="23">
        <v>1.0</v>
      </c>
      <c r="I4" s="26"/>
      <c r="J4" s="26"/>
      <c r="K4" s="26"/>
      <c r="L4" s="26"/>
      <c r="M4" s="23">
        <v>1.0</v>
      </c>
      <c r="N4" s="26"/>
      <c r="O4" s="25" t="s">
        <v>53</v>
      </c>
      <c r="P4" s="25" t="s">
        <v>54</v>
      </c>
      <c r="Q4" s="25" t="s">
        <v>55</v>
      </c>
      <c r="R4" s="25" t="s">
        <v>56</v>
      </c>
      <c r="S4" s="27">
        <v>8.0</v>
      </c>
      <c r="T4" s="26"/>
      <c r="U4" s="26"/>
      <c r="V4" s="26"/>
    </row>
    <row r="5">
      <c r="A5" s="23">
        <v>2.0</v>
      </c>
      <c r="B5" s="24" t="s">
        <v>57</v>
      </c>
      <c r="C5" s="23">
        <v>8.0</v>
      </c>
      <c r="D5" s="23">
        <v>7.0</v>
      </c>
      <c r="E5" s="23">
        <v>1.0</v>
      </c>
      <c r="F5" s="25" t="s">
        <v>58</v>
      </c>
      <c r="G5" s="26"/>
      <c r="H5" s="23">
        <v>2.0</v>
      </c>
      <c r="I5" s="26"/>
      <c r="J5" s="26"/>
      <c r="K5" s="26"/>
      <c r="L5" s="23">
        <v>0.5</v>
      </c>
      <c r="M5" s="23">
        <v>4.0</v>
      </c>
      <c r="N5" s="23">
        <v>0.5</v>
      </c>
      <c r="O5" s="25" t="s">
        <v>59</v>
      </c>
      <c r="P5" s="25" t="s">
        <v>60</v>
      </c>
      <c r="Q5" s="25" t="s">
        <v>61</v>
      </c>
      <c r="R5" s="28"/>
      <c r="S5" s="28"/>
      <c r="T5" s="26"/>
      <c r="U5" s="26"/>
      <c r="V5" s="26"/>
    </row>
    <row r="6">
      <c r="A6" s="9">
        <v>3.0</v>
      </c>
      <c r="B6" s="29" t="s">
        <v>62</v>
      </c>
      <c r="C6" s="9">
        <v>11.0</v>
      </c>
      <c r="D6" s="9">
        <v>10.0</v>
      </c>
      <c r="E6" s="9">
        <v>1.0</v>
      </c>
      <c r="F6" s="8" t="s">
        <v>63</v>
      </c>
      <c r="J6" s="9">
        <v>4.0</v>
      </c>
      <c r="K6" s="9">
        <v>1.0</v>
      </c>
      <c r="L6" s="9">
        <v>1.0</v>
      </c>
      <c r="M6" s="9">
        <v>5.0</v>
      </c>
      <c r="O6" s="8" t="s">
        <v>64</v>
      </c>
      <c r="P6" s="8" t="s">
        <v>65</v>
      </c>
      <c r="Q6" s="8" t="s">
        <v>66</v>
      </c>
      <c r="R6" s="8" t="s">
        <v>67</v>
      </c>
      <c r="S6" s="8">
        <v>9.0</v>
      </c>
    </row>
    <row r="7">
      <c r="A7" s="9">
        <v>4.0</v>
      </c>
      <c r="B7" s="29" t="s">
        <v>68</v>
      </c>
      <c r="C7" s="9">
        <v>9.0</v>
      </c>
      <c r="D7" s="9">
        <v>8.0</v>
      </c>
      <c r="E7" s="9">
        <v>1.0</v>
      </c>
      <c r="F7" s="8" t="s">
        <v>69</v>
      </c>
      <c r="G7" s="9">
        <v>2.0</v>
      </c>
      <c r="J7" s="9">
        <v>4.0</v>
      </c>
      <c r="K7" s="9">
        <v>2.0</v>
      </c>
      <c r="L7" s="9">
        <v>1.0</v>
      </c>
      <c r="M7" s="9"/>
      <c r="O7" s="8" t="s">
        <v>70</v>
      </c>
      <c r="P7" s="8" t="s">
        <v>71</v>
      </c>
      <c r="Q7" s="8" t="s">
        <v>72</v>
      </c>
      <c r="R7" s="8" t="s">
        <v>73</v>
      </c>
      <c r="S7" s="8">
        <v>10.0</v>
      </c>
    </row>
    <row r="8">
      <c r="A8" s="9">
        <v>5.0</v>
      </c>
      <c r="B8" s="29" t="s">
        <v>74</v>
      </c>
      <c r="C8" s="9">
        <v>8.0</v>
      </c>
      <c r="D8" s="9">
        <v>6.5</v>
      </c>
      <c r="E8" s="9">
        <v>1.5</v>
      </c>
      <c r="F8" s="8" t="s">
        <v>75</v>
      </c>
      <c r="H8" s="9">
        <v>3.5</v>
      </c>
      <c r="J8" s="9">
        <v>3.0</v>
      </c>
      <c r="L8" s="9">
        <v>1.5</v>
      </c>
      <c r="O8" s="8" t="s">
        <v>76</v>
      </c>
      <c r="P8" s="8" t="s">
        <v>77</v>
      </c>
      <c r="Q8" s="8" t="s">
        <v>78</v>
      </c>
      <c r="R8" s="8" t="s">
        <v>79</v>
      </c>
      <c r="S8" s="8">
        <v>8.0</v>
      </c>
    </row>
    <row r="9">
      <c r="A9" s="9">
        <v>6.0</v>
      </c>
      <c r="B9" s="9" t="s">
        <v>80</v>
      </c>
      <c r="C9" s="9">
        <v>12.0</v>
      </c>
      <c r="D9" s="9">
        <v>11.0</v>
      </c>
      <c r="E9" s="9">
        <v>1.0</v>
      </c>
      <c r="F9" s="8" t="s">
        <v>81</v>
      </c>
      <c r="G9" s="9">
        <v>3.0</v>
      </c>
      <c r="J9" s="9">
        <v>4.0</v>
      </c>
      <c r="M9" s="9">
        <v>4.0</v>
      </c>
      <c r="O9" s="8" t="s">
        <v>82</v>
      </c>
      <c r="P9" s="8" t="s">
        <v>83</v>
      </c>
      <c r="Q9" s="8" t="s">
        <v>84</v>
      </c>
      <c r="R9" s="8" t="s">
        <v>85</v>
      </c>
      <c r="S9" s="8">
        <v>12.0</v>
      </c>
    </row>
    <row r="10">
      <c r="A10" s="9">
        <v>7.0</v>
      </c>
      <c r="B10" s="9" t="s">
        <v>86</v>
      </c>
      <c r="C10" s="9">
        <v>11.0</v>
      </c>
      <c r="D10" s="9">
        <v>10.0</v>
      </c>
      <c r="E10" s="9">
        <v>1.0</v>
      </c>
      <c r="F10" s="8" t="s">
        <v>87</v>
      </c>
      <c r="G10" s="9">
        <v>3.0</v>
      </c>
      <c r="K10" s="9">
        <v>4.0</v>
      </c>
      <c r="L10" s="9"/>
      <c r="M10" s="9">
        <v>3.0</v>
      </c>
      <c r="O10" s="8" t="s">
        <v>88</v>
      </c>
      <c r="P10" s="8" t="s">
        <v>89</v>
      </c>
      <c r="Q10" s="8" t="s">
        <v>90</v>
      </c>
      <c r="R10" s="8" t="s">
        <v>91</v>
      </c>
      <c r="S10" s="8">
        <v>13.0</v>
      </c>
    </row>
    <row r="11">
      <c r="A11" s="9">
        <v>8.0</v>
      </c>
      <c r="B11" s="9" t="s">
        <v>92</v>
      </c>
      <c r="C11" s="9">
        <v>15.5</v>
      </c>
      <c r="D11" s="9">
        <v>14.0</v>
      </c>
      <c r="E11" s="9">
        <v>1.5</v>
      </c>
      <c r="F11" s="8" t="s">
        <v>93</v>
      </c>
      <c r="K11" s="9">
        <v>4.0</v>
      </c>
      <c r="L11" s="9">
        <v>4.0</v>
      </c>
      <c r="M11" s="9">
        <v>4.0</v>
      </c>
      <c r="N11" s="9">
        <v>2.0</v>
      </c>
      <c r="O11" s="8" t="s">
        <v>94</v>
      </c>
      <c r="P11" s="8" t="s">
        <v>95</v>
      </c>
      <c r="Q11" s="8" t="s">
        <v>96</v>
      </c>
      <c r="R11" s="8" t="s">
        <v>97</v>
      </c>
      <c r="S11" s="8">
        <v>10.0</v>
      </c>
    </row>
    <row r="12">
      <c r="F12" s="18"/>
      <c r="O12" s="18"/>
      <c r="P12" s="18"/>
      <c r="Q12" s="18"/>
      <c r="R12" s="18"/>
      <c r="S12" s="18"/>
    </row>
    <row r="13">
      <c r="F13" s="18"/>
      <c r="O13" s="18"/>
      <c r="P13" s="18"/>
      <c r="Q13" s="18"/>
      <c r="R13" s="18"/>
      <c r="S13" s="18"/>
    </row>
    <row r="14">
      <c r="F14" s="18"/>
      <c r="O14" s="18"/>
      <c r="P14" s="18"/>
      <c r="Q14" s="18"/>
      <c r="R14" s="18"/>
      <c r="S14" s="18"/>
    </row>
    <row r="15">
      <c r="F15" s="18"/>
      <c r="O15" s="18"/>
      <c r="P15" s="18"/>
      <c r="Q15" s="18"/>
      <c r="R15" s="18"/>
      <c r="S15" s="18"/>
    </row>
    <row r="16">
      <c r="F16" s="18"/>
      <c r="O16" s="18"/>
      <c r="P16" s="18"/>
      <c r="Q16" s="18"/>
      <c r="R16" s="18"/>
      <c r="S16" s="18"/>
    </row>
    <row r="17">
      <c r="F17" s="18"/>
      <c r="O17" s="18"/>
      <c r="P17" s="18"/>
      <c r="Q17" s="18"/>
      <c r="R17" s="18"/>
      <c r="S17" s="18"/>
    </row>
    <row r="18">
      <c r="F18" s="18"/>
      <c r="O18" s="18"/>
      <c r="P18" s="18"/>
      <c r="Q18" s="18"/>
      <c r="R18" s="18"/>
      <c r="S18" s="18"/>
    </row>
    <row r="19">
      <c r="F19" s="18"/>
      <c r="O19" s="18"/>
      <c r="P19" s="18"/>
      <c r="Q19" s="18"/>
      <c r="R19" s="18"/>
      <c r="S19" s="18"/>
    </row>
    <row r="20">
      <c r="F20" s="18"/>
      <c r="O20" s="18"/>
      <c r="P20" s="18"/>
      <c r="Q20" s="18"/>
      <c r="R20" s="18"/>
      <c r="S20" s="18"/>
    </row>
    <row r="21">
      <c r="F21" s="18"/>
      <c r="O21" s="18"/>
      <c r="P21" s="18"/>
      <c r="Q21" s="18"/>
      <c r="R21" s="18"/>
      <c r="S21" s="18"/>
    </row>
    <row r="22">
      <c r="F22" s="18"/>
      <c r="O22" s="18"/>
      <c r="P22" s="18"/>
      <c r="Q22" s="18"/>
      <c r="R22" s="18"/>
      <c r="S22" s="18"/>
    </row>
    <row r="23">
      <c r="F23" s="18"/>
      <c r="O23" s="18"/>
      <c r="P23" s="18"/>
      <c r="Q23" s="18"/>
      <c r="R23" s="18"/>
      <c r="S23" s="18"/>
    </row>
    <row r="24">
      <c r="F24" s="18"/>
      <c r="O24" s="18"/>
      <c r="P24" s="18"/>
      <c r="Q24" s="18"/>
      <c r="R24" s="18"/>
      <c r="S24" s="18"/>
    </row>
    <row r="25">
      <c r="F25" s="18"/>
      <c r="O25" s="18"/>
      <c r="P25" s="18"/>
      <c r="Q25" s="18"/>
      <c r="R25" s="18"/>
      <c r="S25" s="18"/>
    </row>
    <row r="26">
      <c r="F26" s="18"/>
      <c r="O26" s="18"/>
      <c r="P26" s="18"/>
      <c r="Q26" s="18"/>
      <c r="R26" s="18"/>
      <c r="S26" s="18"/>
    </row>
    <row r="27">
      <c r="F27" s="18"/>
      <c r="O27" s="18"/>
      <c r="P27" s="18"/>
      <c r="Q27" s="18"/>
      <c r="R27" s="18"/>
      <c r="S27" s="18"/>
    </row>
    <row r="28">
      <c r="F28" s="18"/>
      <c r="O28" s="18"/>
      <c r="P28" s="18"/>
      <c r="Q28" s="18"/>
      <c r="R28" s="18"/>
      <c r="S28" s="18"/>
    </row>
    <row r="29">
      <c r="F29" s="18"/>
      <c r="O29" s="18"/>
      <c r="P29" s="18"/>
      <c r="Q29" s="18"/>
      <c r="R29" s="18"/>
      <c r="S29" s="18"/>
    </row>
    <row r="30">
      <c r="F30" s="18"/>
      <c r="O30" s="18"/>
      <c r="P30" s="18"/>
      <c r="Q30" s="18"/>
      <c r="R30" s="18"/>
      <c r="S30" s="18"/>
    </row>
    <row r="31">
      <c r="F31" s="18"/>
      <c r="O31" s="18"/>
      <c r="P31" s="18"/>
      <c r="Q31" s="18"/>
      <c r="R31" s="18"/>
      <c r="S31" s="18"/>
    </row>
    <row r="32">
      <c r="F32" s="18"/>
    </row>
    <row r="33">
      <c r="F33" s="18"/>
    </row>
    <row r="34">
      <c r="F34" s="18"/>
    </row>
    <row r="35">
      <c r="F35" s="18"/>
    </row>
    <row r="36">
      <c r="F36" s="18"/>
    </row>
    <row r="37">
      <c r="F37" s="18"/>
    </row>
    <row r="38">
      <c r="F38" s="18"/>
    </row>
    <row r="39">
      <c r="F39" s="18"/>
    </row>
    <row r="40">
      <c r="F40" s="18"/>
    </row>
    <row r="41">
      <c r="F41" s="18"/>
    </row>
    <row r="42">
      <c r="F42" s="18"/>
    </row>
    <row r="43">
      <c r="F43" s="18"/>
    </row>
    <row r="44">
      <c r="F44" s="18"/>
    </row>
    <row r="45">
      <c r="F45" s="18"/>
    </row>
    <row r="46">
      <c r="F46" s="18"/>
    </row>
    <row r="47">
      <c r="F47" s="18"/>
    </row>
    <row r="48">
      <c r="F48" s="18"/>
    </row>
    <row r="49">
      <c r="F49" s="18"/>
    </row>
    <row r="50">
      <c r="F50" s="18"/>
    </row>
    <row r="51">
      <c r="F51" s="18"/>
    </row>
    <row r="52">
      <c r="F52" s="18"/>
    </row>
    <row r="53">
      <c r="F53" s="18"/>
    </row>
    <row r="54">
      <c r="F54" s="18"/>
    </row>
    <row r="55">
      <c r="F55" s="18"/>
    </row>
    <row r="56">
      <c r="F56" s="18"/>
    </row>
    <row r="57">
      <c r="F57" s="18"/>
    </row>
    <row r="58">
      <c r="F58" s="18"/>
    </row>
    <row r="59">
      <c r="F59" s="18"/>
    </row>
    <row r="60">
      <c r="F60" s="18"/>
    </row>
    <row r="61">
      <c r="F61" s="18"/>
    </row>
    <row r="62">
      <c r="F62" s="18"/>
    </row>
    <row r="63">
      <c r="F63" s="18"/>
    </row>
    <row r="64">
      <c r="F64" s="18"/>
    </row>
    <row r="65">
      <c r="F65" s="18"/>
    </row>
    <row r="66">
      <c r="F66" s="18"/>
    </row>
    <row r="67">
      <c r="F67" s="18"/>
    </row>
    <row r="68">
      <c r="F68" s="18"/>
    </row>
    <row r="69">
      <c r="F69" s="18"/>
    </row>
    <row r="70">
      <c r="F70" s="18"/>
    </row>
    <row r="71">
      <c r="F71" s="18"/>
    </row>
    <row r="72">
      <c r="F72" s="18"/>
    </row>
    <row r="73">
      <c r="F73" s="18"/>
    </row>
    <row r="74">
      <c r="F74" s="18"/>
    </row>
    <row r="75">
      <c r="F75" s="18"/>
    </row>
    <row r="76">
      <c r="F76" s="18"/>
    </row>
    <row r="77">
      <c r="F77" s="18"/>
    </row>
    <row r="78">
      <c r="F78" s="18"/>
    </row>
    <row r="79">
      <c r="F79" s="18"/>
    </row>
    <row r="80">
      <c r="F80" s="18"/>
    </row>
    <row r="81">
      <c r="F81" s="18"/>
    </row>
    <row r="82">
      <c r="F82" s="18"/>
    </row>
    <row r="83">
      <c r="F83" s="18"/>
    </row>
    <row r="84">
      <c r="F84" s="18"/>
    </row>
    <row r="85">
      <c r="F85" s="18"/>
    </row>
    <row r="86">
      <c r="F86" s="18"/>
    </row>
    <row r="87">
      <c r="F87" s="18"/>
    </row>
    <row r="88">
      <c r="F88" s="18"/>
    </row>
    <row r="89">
      <c r="F89" s="18"/>
    </row>
    <row r="90">
      <c r="F90" s="18"/>
    </row>
    <row r="91">
      <c r="F91" s="18"/>
    </row>
    <row r="92">
      <c r="F92" s="18"/>
    </row>
    <row r="93">
      <c r="F93" s="18"/>
    </row>
    <row r="94">
      <c r="F94" s="18"/>
    </row>
    <row r="95">
      <c r="F95" s="18"/>
    </row>
    <row r="96">
      <c r="F96" s="18"/>
    </row>
    <row r="97">
      <c r="F97" s="18"/>
    </row>
    <row r="98">
      <c r="F98" s="18"/>
    </row>
    <row r="99">
      <c r="F99" s="18"/>
    </row>
    <row r="100">
      <c r="F100" s="18"/>
    </row>
    <row r="101">
      <c r="F101" s="18"/>
    </row>
    <row r="102">
      <c r="F102" s="18"/>
    </row>
    <row r="103">
      <c r="F103" s="18"/>
    </row>
    <row r="104">
      <c r="F104" s="18"/>
    </row>
    <row r="105">
      <c r="F105" s="18"/>
    </row>
    <row r="106">
      <c r="F106" s="18"/>
    </row>
    <row r="107">
      <c r="F107" s="18"/>
    </row>
    <row r="108">
      <c r="F108" s="18"/>
    </row>
    <row r="109">
      <c r="F109" s="18"/>
    </row>
    <row r="110">
      <c r="F110" s="18"/>
    </row>
    <row r="111">
      <c r="F111" s="18"/>
    </row>
    <row r="112">
      <c r="F112" s="18"/>
    </row>
    <row r="113">
      <c r="F113" s="18"/>
    </row>
    <row r="114">
      <c r="F114" s="18"/>
    </row>
    <row r="115">
      <c r="F115" s="18"/>
    </row>
    <row r="116">
      <c r="F116" s="18"/>
    </row>
    <row r="117">
      <c r="F117" s="18"/>
    </row>
    <row r="118">
      <c r="F118" s="18"/>
    </row>
    <row r="119">
      <c r="F119" s="18"/>
    </row>
    <row r="120">
      <c r="F120" s="18"/>
    </row>
    <row r="121">
      <c r="F121" s="18"/>
    </row>
    <row r="122">
      <c r="F122" s="18"/>
    </row>
    <row r="123">
      <c r="F123" s="18"/>
    </row>
    <row r="124">
      <c r="F124" s="18"/>
    </row>
    <row r="125">
      <c r="F125" s="18"/>
    </row>
    <row r="126">
      <c r="F126" s="18"/>
    </row>
    <row r="127">
      <c r="F127" s="18"/>
    </row>
    <row r="128">
      <c r="F128" s="18"/>
    </row>
    <row r="129">
      <c r="F129" s="18"/>
    </row>
    <row r="130">
      <c r="F130" s="18"/>
    </row>
    <row r="131">
      <c r="F131" s="18"/>
    </row>
    <row r="132">
      <c r="F132" s="18"/>
    </row>
    <row r="133">
      <c r="F133" s="18"/>
    </row>
    <row r="134">
      <c r="F134" s="18"/>
    </row>
    <row r="135">
      <c r="F135" s="18"/>
    </row>
    <row r="136">
      <c r="F136" s="18"/>
    </row>
    <row r="137">
      <c r="F137" s="18"/>
    </row>
    <row r="138">
      <c r="F138" s="18"/>
    </row>
    <row r="139">
      <c r="F139" s="18"/>
    </row>
    <row r="140">
      <c r="F140" s="18"/>
    </row>
    <row r="141">
      <c r="F141" s="18"/>
    </row>
    <row r="142">
      <c r="F142" s="18"/>
    </row>
    <row r="143">
      <c r="F143" s="18"/>
    </row>
    <row r="144">
      <c r="F144" s="18"/>
    </row>
    <row r="145">
      <c r="F145" s="18"/>
    </row>
    <row r="146">
      <c r="F146" s="18"/>
    </row>
    <row r="147">
      <c r="F147" s="18"/>
    </row>
    <row r="148">
      <c r="F148" s="18"/>
    </row>
    <row r="149">
      <c r="F149" s="18"/>
    </row>
    <row r="150">
      <c r="F150" s="18"/>
    </row>
    <row r="151">
      <c r="F151" s="18"/>
    </row>
    <row r="152">
      <c r="F152" s="18"/>
    </row>
    <row r="153">
      <c r="F153" s="18"/>
    </row>
    <row r="154">
      <c r="F154" s="18"/>
    </row>
    <row r="155">
      <c r="F155" s="18"/>
    </row>
    <row r="156">
      <c r="F156" s="18"/>
    </row>
    <row r="157">
      <c r="F157" s="18"/>
    </row>
    <row r="158">
      <c r="F158" s="18"/>
    </row>
    <row r="159">
      <c r="F159" s="18"/>
    </row>
    <row r="160">
      <c r="F160" s="18"/>
    </row>
    <row r="161">
      <c r="F161" s="18"/>
    </row>
    <row r="162">
      <c r="F162" s="18"/>
    </row>
    <row r="163">
      <c r="F163" s="18"/>
    </row>
    <row r="164">
      <c r="F164" s="18"/>
    </row>
    <row r="165">
      <c r="F165" s="18"/>
    </row>
    <row r="166">
      <c r="F166" s="18"/>
    </row>
    <row r="167">
      <c r="F167" s="18"/>
    </row>
    <row r="168">
      <c r="F168" s="18"/>
    </row>
    <row r="169">
      <c r="F169" s="18"/>
    </row>
    <row r="170">
      <c r="F170" s="18"/>
    </row>
    <row r="171">
      <c r="F171" s="18"/>
    </row>
    <row r="172">
      <c r="F172" s="18"/>
    </row>
    <row r="173">
      <c r="F173" s="18"/>
    </row>
    <row r="174">
      <c r="F174" s="18"/>
    </row>
    <row r="175">
      <c r="F175" s="18"/>
    </row>
    <row r="176">
      <c r="F176" s="18"/>
    </row>
    <row r="177">
      <c r="F177" s="18"/>
    </row>
    <row r="178">
      <c r="F178" s="18"/>
    </row>
    <row r="179">
      <c r="F179" s="18"/>
    </row>
    <row r="180">
      <c r="F180" s="18"/>
    </row>
    <row r="181">
      <c r="F181" s="18"/>
    </row>
    <row r="182">
      <c r="F182" s="18"/>
    </row>
    <row r="183">
      <c r="F183" s="18"/>
    </row>
    <row r="184">
      <c r="F184" s="18"/>
    </row>
    <row r="185">
      <c r="F185" s="18"/>
    </row>
    <row r="186">
      <c r="F186" s="18"/>
    </row>
    <row r="187">
      <c r="F187" s="18"/>
    </row>
    <row r="188">
      <c r="F188" s="18"/>
    </row>
    <row r="189">
      <c r="F189" s="18"/>
    </row>
    <row r="190">
      <c r="F190" s="18"/>
    </row>
    <row r="191">
      <c r="F191" s="18"/>
    </row>
    <row r="192">
      <c r="F192" s="18"/>
    </row>
    <row r="193">
      <c r="F193" s="18"/>
    </row>
    <row r="194">
      <c r="F194" s="18"/>
    </row>
    <row r="195">
      <c r="F195" s="18"/>
    </row>
    <row r="196">
      <c r="F196" s="18"/>
    </row>
    <row r="197">
      <c r="F197" s="18"/>
    </row>
    <row r="198">
      <c r="F198" s="18"/>
    </row>
    <row r="199">
      <c r="F199" s="18"/>
    </row>
    <row r="200">
      <c r="F200" s="18"/>
    </row>
    <row r="201">
      <c r="F201" s="18"/>
    </row>
    <row r="202">
      <c r="F202" s="18"/>
    </row>
    <row r="203">
      <c r="F203" s="18"/>
    </row>
    <row r="204">
      <c r="F204" s="18"/>
    </row>
    <row r="205">
      <c r="F205" s="18"/>
    </row>
    <row r="206">
      <c r="F206" s="18"/>
    </row>
    <row r="207">
      <c r="F207" s="18"/>
    </row>
    <row r="208">
      <c r="F208" s="18"/>
    </row>
    <row r="209">
      <c r="F209" s="18"/>
    </row>
    <row r="210">
      <c r="F210" s="18"/>
    </row>
    <row r="211">
      <c r="F211" s="18"/>
    </row>
    <row r="212">
      <c r="F212" s="18"/>
    </row>
    <row r="213">
      <c r="F213" s="18"/>
    </row>
    <row r="214">
      <c r="F214" s="18"/>
    </row>
    <row r="215">
      <c r="F215" s="18"/>
    </row>
    <row r="216">
      <c r="F216" s="18"/>
    </row>
    <row r="217">
      <c r="F217" s="18"/>
    </row>
    <row r="218">
      <c r="F218" s="18"/>
    </row>
    <row r="219">
      <c r="F219" s="18"/>
    </row>
    <row r="220">
      <c r="F220" s="18"/>
    </row>
    <row r="221">
      <c r="F221" s="18"/>
    </row>
    <row r="222">
      <c r="F222" s="18"/>
    </row>
    <row r="223">
      <c r="F223" s="18"/>
    </row>
    <row r="224">
      <c r="F224" s="18"/>
    </row>
    <row r="225">
      <c r="F225" s="18"/>
    </row>
    <row r="226">
      <c r="F226" s="18"/>
    </row>
    <row r="227">
      <c r="F227" s="18"/>
    </row>
    <row r="228">
      <c r="F228" s="18"/>
    </row>
    <row r="229">
      <c r="F229" s="18"/>
    </row>
    <row r="230">
      <c r="F230" s="18"/>
    </row>
    <row r="231">
      <c r="F231" s="18"/>
    </row>
    <row r="232">
      <c r="F232" s="18"/>
    </row>
    <row r="233">
      <c r="F233" s="18"/>
    </row>
    <row r="234">
      <c r="F234" s="18"/>
    </row>
    <row r="235">
      <c r="F235" s="18"/>
    </row>
    <row r="236">
      <c r="F236" s="18"/>
    </row>
    <row r="237">
      <c r="F237" s="18"/>
    </row>
    <row r="238">
      <c r="F238" s="18"/>
    </row>
    <row r="239">
      <c r="F239" s="18"/>
    </row>
    <row r="240">
      <c r="F240" s="18"/>
    </row>
    <row r="241">
      <c r="F241" s="18"/>
    </row>
    <row r="242">
      <c r="F242" s="18"/>
    </row>
    <row r="243">
      <c r="F243" s="18"/>
    </row>
    <row r="244">
      <c r="F244" s="18"/>
    </row>
    <row r="245">
      <c r="F245" s="18"/>
    </row>
    <row r="246">
      <c r="F246" s="18"/>
    </row>
    <row r="247">
      <c r="F247" s="18"/>
    </row>
    <row r="248">
      <c r="F248" s="18"/>
    </row>
    <row r="249">
      <c r="F249" s="18"/>
    </row>
    <row r="250">
      <c r="F250" s="18"/>
    </row>
    <row r="251">
      <c r="F251" s="18"/>
    </row>
    <row r="252">
      <c r="F252" s="18"/>
    </row>
    <row r="253">
      <c r="F253" s="18"/>
    </row>
    <row r="254">
      <c r="F254" s="18"/>
    </row>
    <row r="255">
      <c r="F255" s="18"/>
    </row>
    <row r="256">
      <c r="F256" s="18"/>
    </row>
    <row r="257">
      <c r="F257" s="18"/>
    </row>
    <row r="258">
      <c r="F258" s="18"/>
    </row>
    <row r="259">
      <c r="F259" s="18"/>
    </row>
    <row r="260">
      <c r="F260" s="18"/>
    </row>
    <row r="261">
      <c r="F261" s="18"/>
    </row>
    <row r="262">
      <c r="F262" s="18"/>
    </row>
    <row r="263">
      <c r="F263" s="18"/>
    </row>
    <row r="264">
      <c r="F264" s="18"/>
    </row>
    <row r="265">
      <c r="F265" s="18"/>
    </row>
    <row r="266">
      <c r="F266" s="18"/>
    </row>
    <row r="267">
      <c r="F267" s="18"/>
    </row>
    <row r="268">
      <c r="F268" s="18"/>
    </row>
    <row r="269">
      <c r="F269" s="18"/>
    </row>
    <row r="270">
      <c r="F270" s="18"/>
    </row>
    <row r="271">
      <c r="F271" s="18"/>
    </row>
    <row r="272">
      <c r="F272" s="18"/>
    </row>
    <row r="273">
      <c r="F273" s="18"/>
    </row>
    <row r="274">
      <c r="F274" s="18"/>
    </row>
    <row r="275">
      <c r="F275" s="18"/>
    </row>
    <row r="276">
      <c r="F276" s="18"/>
    </row>
    <row r="277">
      <c r="F277" s="18"/>
    </row>
    <row r="278">
      <c r="F278" s="18"/>
    </row>
    <row r="279">
      <c r="F279" s="18"/>
    </row>
    <row r="280">
      <c r="F280" s="18"/>
    </row>
    <row r="281">
      <c r="F281" s="18"/>
    </row>
    <row r="282">
      <c r="F282" s="18"/>
    </row>
    <row r="283">
      <c r="F283" s="18"/>
    </row>
    <row r="284">
      <c r="F284" s="18"/>
    </row>
    <row r="285">
      <c r="F285" s="18"/>
    </row>
    <row r="286">
      <c r="F286" s="18"/>
    </row>
    <row r="287">
      <c r="F287" s="18"/>
    </row>
    <row r="288">
      <c r="F288" s="18"/>
    </row>
    <row r="289">
      <c r="F289" s="18"/>
    </row>
    <row r="290">
      <c r="F290" s="18"/>
    </row>
    <row r="291">
      <c r="F291" s="18"/>
    </row>
    <row r="292">
      <c r="F292" s="18"/>
    </row>
    <row r="293">
      <c r="F293" s="18"/>
    </row>
    <row r="294">
      <c r="F294" s="18"/>
    </row>
    <row r="295">
      <c r="F295" s="18"/>
    </row>
    <row r="296">
      <c r="F296" s="18"/>
    </row>
    <row r="297">
      <c r="F297" s="18"/>
    </row>
    <row r="298">
      <c r="F298" s="18"/>
    </row>
    <row r="299">
      <c r="F299" s="18"/>
    </row>
    <row r="300">
      <c r="F300" s="18"/>
    </row>
    <row r="301">
      <c r="F301" s="18"/>
    </row>
    <row r="302">
      <c r="F302" s="18"/>
    </row>
    <row r="303">
      <c r="F303" s="18"/>
    </row>
    <row r="304">
      <c r="F304" s="18"/>
    </row>
    <row r="305">
      <c r="F305" s="18"/>
    </row>
    <row r="306">
      <c r="F306" s="18"/>
    </row>
    <row r="307">
      <c r="F307" s="18"/>
    </row>
    <row r="308">
      <c r="F308" s="18"/>
    </row>
    <row r="309">
      <c r="F309" s="18"/>
    </row>
    <row r="310">
      <c r="F310" s="18"/>
    </row>
    <row r="311">
      <c r="F311" s="18"/>
    </row>
    <row r="312">
      <c r="F312" s="18"/>
    </row>
    <row r="313">
      <c r="F313" s="18"/>
    </row>
    <row r="314">
      <c r="F314" s="18"/>
    </row>
    <row r="315">
      <c r="F315" s="18"/>
    </row>
    <row r="316">
      <c r="F316" s="18"/>
    </row>
    <row r="317">
      <c r="F317" s="18"/>
    </row>
    <row r="318">
      <c r="F318" s="18"/>
    </row>
    <row r="319">
      <c r="F319" s="18"/>
    </row>
    <row r="320">
      <c r="F320" s="18"/>
    </row>
    <row r="321">
      <c r="F321" s="18"/>
    </row>
    <row r="322">
      <c r="F322" s="18"/>
    </row>
    <row r="323">
      <c r="F323" s="18"/>
    </row>
    <row r="324">
      <c r="F324" s="18"/>
    </row>
    <row r="325">
      <c r="F325" s="18"/>
    </row>
    <row r="326">
      <c r="F326" s="18"/>
    </row>
    <row r="327">
      <c r="F327" s="18"/>
    </row>
    <row r="328">
      <c r="F328" s="18"/>
    </row>
    <row r="329">
      <c r="F329" s="18"/>
    </row>
    <row r="330">
      <c r="F330" s="18"/>
    </row>
    <row r="331">
      <c r="F331" s="18"/>
    </row>
    <row r="332">
      <c r="F332" s="18"/>
    </row>
    <row r="333">
      <c r="F333" s="18"/>
    </row>
    <row r="334">
      <c r="F334" s="18"/>
    </row>
    <row r="335">
      <c r="F335" s="18"/>
    </row>
    <row r="336">
      <c r="F336" s="18"/>
    </row>
    <row r="337">
      <c r="F337" s="18"/>
    </row>
    <row r="338">
      <c r="F338" s="18"/>
    </row>
    <row r="339">
      <c r="F339" s="18"/>
    </row>
    <row r="340">
      <c r="F340" s="18"/>
    </row>
    <row r="341">
      <c r="F341" s="18"/>
    </row>
    <row r="342">
      <c r="F342" s="18"/>
    </row>
    <row r="343">
      <c r="F343" s="18"/>
    </row>
    <row r="344">
      <c r="F344" s="18"/>
    </row>
    <row r="345">
      <c r="F345" s="18"/>
    </row>
    <row r="346">
      <c r="F346" s="18"/>
    </row>
    <row r="347">
      <c r="F347" s="18"/>
    </row>
    <row r="348">
      <c r="F348" s="18"/>
    </row>
    <row r="349">
      <c r="F349" s="18"/>
    </row>
    <row r="350">
      <c r="F350" s="18"/>
    </row>
    <row r="351">
      <c r="F351" s="18"/>
    </row>
    <row r="352">
      <c r="F352" s="18"/>
    </row>
    <row r="353">
      <c r="F353" s="18"/>
    </row>
    <row r="354">
      <c r="F354" s="18"/>
    </row>
    <row r="355">
      <c r="F355" s="18"/>
    </row>
    <row r="356">
      <c r="F356" s="18"/>
    </row>
    <row r="357">
      <c r="F357" s="18"/>
    </row>
    <row r="358">
      <c r="F358" s="18"/>
    </row>
    <row r="359">
      <c r="F359" s="18"/>
    </row>
    <row r="360">
      <c r="F360" s="18"/>
    </row>
    <row r="361">
      <c r="F361" s="18"/>
    </row>
    <row r="362">
      <c r="F362" s="18"/>
    </row>
    <row r="363">
      <c r="F363" s="18"/>
    </row>
    <row r="364">
      <c r="F364" s="18"/>
    </row>
    <row r="365">
      <c r="F365" s="18"/>
    </row>
    <row r="366">
      <c r="F366" s="18"/>
    </row>
    <row r="367">
      <c r="F367" s="18"/>
    </row>
    <row r="368">
      <c r="F368" s="18"/>
    </row>
    <row r="369">
      <c r="F369" s="18"/>
    </row>
    <row r="370">
      <c r="F370" s="18"/>
    </row>
    <row r="371">
      <c r="F371" s="18"/>
    </row>
    <row r="372">
      <c r="F372" s="18"/>
    </row>
    <row r="373">
      <c r="F373" s="18"/>
    </row>
    <row r="374">
      <c r="F374" s="18"/>
    </row>
    <row r="375">
      <c r="F375" s="18"/>
    </row>
    <row r="376">
      <c r="F376" s="18"/>
    </row>
    <row r="377">
      <c r="F377" s="18"/>
    </row>
    <row r="378">
      <c r="F378" s="18"/>
    </row>
    <row r="379">
      <c r="F379" s="18"/>
    </row>
    <row r="380">
      <c r="F380" s="18"/>
    </row>
    <row r="381">
      <c r="F381" s="18"/>
    </row>
    <row r="382">
      <c r="F382" s="18"/>
    </row>
    <row r="383">
      <c r="F383" s="18"/>
    </row>
    <row r="384">
      <c r="F384" s="18"/>
    </row>
    <row r="385">
      <c r="F385" s="18"/>
    </row>
    <row r="386">
      <c r="F386" s="18"/>
    </row>
    <row r="387">
      <c r="F387" s="18"/>
    </row>
    <row r="388">
      <c r="F388" s="18"/>
    </row>
    <row r="389">
      <c r="F389" s="18"/>
    </row>
    <row r="390">
      <c r="F390" s="18"/>
    </row>
    <row r="391">
      <c r="F391" s="18"/>
    </row>
    <row r="392">
      <c r="F392" s="18"/>
    </row>
    <row r="393">
      <c r="F393" s="18"/>
    </row>
    <row r="394">
      <c r="F394" s="18"/>
    </row>
    <row r="395">
      <c r="F395" s="18"/>
    </row>
    <row r="396">
      <c r="F396" s="18"/>
    </row>
    <row r="397">
      <c r="F397" s="18"/>
    </row>
    <row r="398">
      <c r="F398" s="18"/>
    </row>
    <row r="399">
      <c r="F399" s="18"/>
    </row>
    <row r="400">
      <c r="F400" s="18"/>
    </row>
    <row r="401">
      <c r="F401" s="18"/>
    </row>
    <row r="402">
      <c r="F402" s="18"/>
    </row>
    <row r="403">
      <c r="F403" s="18"/>
    </row>
    <row r="404">
      <c r="F404" s="18"/>
    </row>
    <row r="405">
      <c r="F405" s="18"/>
    </row>
    <row r="406">
      <c r="F406" s="18"/>
    </row>
    <row r="407">
      <c r="F407" s="18"/>
    </row>
    <row r="408">
      <c r="F408" s="18"/>
    </row>
    <row r="409">
      <c r="F409" s="18"/>
    </row>
    <row r="410">
      <c r="F410" s="18"/>
    </row>
    <row r="411">
      <c r="F411" s="18"/>
    </row>
    <row r="412">
      <c r="F412" s="18"/>
    </row>
    <row r="413">
      <c r="F413" s="18"/>
    </row>
    <row r="414">
      <c r="F414" s="18"/>
    </row>
    <row r="415">
      <c r="F415" s="18"/>
    </row>
    <row r="416">
      <c r="F416" s="18"/>
    </row>
    <row r="417">
      <c r="F417" s="18"/>
    </row>
    <row r="418">
      <c r="F418" s="18"/>
    </row>
    <row r="419">
      <c r="F419" s="18"/>
    </row>
    <row r="420">
      <c r="F420" s="18"/>
    </row>
    <row r="421">
      <c r="F421" s="18"/>
    </row>
    <row r="422">
      <c r="F422" s="18"/>
    </row>
    <row r="423">
      <c r="F423" s="18"/>
    </row>
    <row r="424">
      <c r="F424" s="18"/>
    </row>
    <row r="425">
      <c r="F425" s="18"/>
    </row>
    <row r="426">
      <c r="F426" s="18"/>
    </row>
    <row r="427">
      <c r="F427" s="18"/>
    </row>
    <row r="428">
      <c r="F428" s="18"/>
    </row>
    <row r="429">
      <c r="F429" s="18"/>
    </row>
    <row r="430">
      <c r="F430" s="18"/>
    </row>
    <row r="431">
      <c r="F431" s="18"/>
    </row>
    <row r="432">
      <c r="F432" s="18"/>
    </row>
    <row r="433">
      <c r="F433" s="18"/>
    </row>
    <row r="434">
      <c r="F434" s="18"/>
    </row>
    <row r="435">
      <c r="F435" s="18"/>
    </row>
    <row r="436">
      <c r="F436" s="18"/>
    </row>
    <row r="437">
      <c r="F437" s="18"/>
    </row>
    <row r="438">
      <c r="F438" s="18"/>
    </row>
    <row r="439">
      <c r="F439" s="18"/>
    </row>
    <row r="440">
      <c r="F440" s="18"/>
    </row>
    <row r="441">
      <c r="F441" s="18"/>
    </row>
    <row r="442">
      <c r="F442" s="18"/>
    </row>
    <row r="443">
      <c r="F443" s="18"/>
    </row>
    <row r="444">
      <c r="F444" s="18"/>
    </row>
    <row r="445">
      <c r="F445" s="18"/>
    </row>
    <row r="446">
      <c r="F446" s="18"/>
    </row>
    <row r="447">
      <c r="F447" s="18"/>
    </row>
    <row r="448">
      <c r="F448" s="18"/>
    </row>
    <row r="449">
      <c r="F449" s="18"/>
    </row>
    <row r="450">
      <c r="F450" s="18"/>
    </row>
    <row r="451">
      <c r="F451" s="18"/>
    </row>
    <row r="452">
      <c r="F452" s="18"/>
    </row>
    <row r="453">
      <c r="F453" s="18"/>
    </row>
    <row r="454">
      <c r="F454" s="18"/>
    </row>
    <row r="455">
      <c r="F455" s="18"/>
    </row>
    <row r="456">
      <c r="F456" s="18"/>
    </row>
    <row r="457">
      <c r="F457" s="18"/>
    </row>
    <row r="458">
      <c r="F458" s="18"/>
    </row>
    <row r="459">
      <c r="F459" s="18"/>
    </row>
    <row r="460">
      <c r="F460" s="18"/>
    </row>
    <row r="461">
      <c r="F461" s="18"/>
    </row>
    <row r="462">
      <c r="F462" s="18"/>
    </row>
    <row r="463">
      <c r="F463" s="18"/>
    </row>
    <row r="464">
      <c r="F464" s="18"/>
    </row>
    <row r="465">
      <c r="F465" s="18"/>
    </row>
    <row r="466">
      <c r="F466" s="18"/>
    </row>
    <row r="467">
      <c r="F467" s="18"/>
    </row>
    <row r="468">
      <c r="F468" s="18"/>
    </row>
    <row r="469">
      <c r="F469" s="18"/>
    </row>
    <row r="470">
      <c r="F470" s="18"/>
    </row>
    <row r="471">
      <c r="F471" s="18"/>
    </row>
    <row r="472">
      <c r="F472" s="18"/>
    </row>
    <row r="473">
      <c r="F473" s="18"/>
    </row>
    <row r="474">
      <c r="F474" s="18"/>
    </row>
    <row r="475">
      <c r="F475" s="18"/>
    </row>
    <row r="476">
      <c r="F476" s="18"/>
    </row>
    <row r="477">
      <c r="F477" s="18"/>
    </row>
    <row r="478">
      <c r="F478" s="18"/>
    </row>
    <row r="479">
      <c r="F479" s="18"/>
    </row>
    <row r="480">
      <c r="F480" s="18"/>
    </row>
    <row r="481">
      <c r="F481" s="18"/>
    </row>
    <row r="482">
      <c r="F482" s="18"/>
    </row>
    <row r="483">
      <c r="F483" s="18"/>
    </row>
    <row r="484">
      <c r="F484" s="18"/>
    </row>
    <row r="485">
      <c r="F485" s="18"/>
    </row>
    <row r="486">
      <c r="F486" s="18"/>
    </row>
    <row r="487">
      <c r="F487" s="18"/>
    </row>
    <row r="488">
      <c r="F488" s="18"/>
    </row>
    <row r="489">
      <c r="F489" s="18"/>
    </row>
    <row r="490">
      <c r="F490" s="18"/>
    </row>
    <row r="491">
      <c r="F491" s="18"/>
    </row>
    <row r="492">
      <c r="F492" s="18"/>
    </row>
    <row r="493">
      <c r="F493" s="18"/>
    </row>
    <row r="494">
      <c r="F494" s="18"/>
    </row>
    <row r="495">
      <c r="F495" s="18"/>
    </row>
    <row r="496">
      <c r="F496" s="18"/>
    </row>
    <row r="497">
      <c r="F497" s="18"/>
    </row>
    <row r="498">
      <c r="F498" s="18"/>
    </row>
    <row r="499">
      <c r="F499" s="18"/>
    </row>
    <row r="500">
      <c r="F500" s="18"/>
    </row>
    <row r="501">
      <c r="F501" s="18"/>
    </row>
    <row r="502">
      <c r="F502" s="18"/>
    </row>
    <row r="503">
      <c r="F503" s="18"/>
    </row>
    <row r="504">
      <c r="F504" s="18"/>
    </row>
    <row r="505">
      <c r="F505" s="18"/>
    </row>
    <row r="506">
      <c r="F506" s="18"/>
    </row>
    <row r="507">
      <c r="F507" s="18"/>
    </row>
    <row r="508">
      <c r="F508" s="18"/>
    </row>
    <row r="509">
      <c r="F509" s="18"/>
    </row>
    <row r="510">
      <c r="F510" s="18"/>
    </row>
    <row r="511">
      <c r="F511" s="18"/>
    </row>
    <row r="512">
      <c r="F512" s="18"/>
    </row>
    <row r="513">
      <c r="F513" s="18"/>
    </row>
    <row r="514">
      <c r="F514" s="18"/>
    </row>
    <row r="515">
      <c r="F515" s="18"/>
    </row>
    <row r="516">
      <c r="F516" s="18"/>
    </row>
    <row r="517">
      <c r="F517" s="18"/>
    </row>
    <row r="518">
      <c r="F518" s="18"/>
    </row>
    <row r="519">
      <c r="F519" s="18"/>
    </row>
    <row r="520">
      <c r="F520" s="18"/>
    </row>
    <row r="521">
      <c r="F521" s="18"/>
    </row>
    <row r="522">
      <c r="F522" s="18"/>
    </row>
    <row r="523">
      <c r="F523" s="18"/>
    </row>
    <row r="524">
      <c r="F524" s="18"/>
    </row>
    <row r="525">
      <c r="F525" s="18"/>
    </row>
    <row r="526">
      <c r="F526" s="18"/>
    </row>
    <row r="527">
      <c r="F527" s="18"/>
    </row>
    <row r="528">
      <c r="F528" s="18"/>
    </row>
    <row r="529">
      <c r="F529" s="18"/>
    </row>
    <row r="530">
      <c r="F530" s="18"/>
    </row>
    <row r="531">
      <c r="F531" s="18"/>
    </row>
    <row r="532">
      <c r="F532" s="18"/>
    </row>
    <row r="533">
      <c r="F533" s="18"/>
    </row>
    <row r="534">
      <c r="F534" s="18"/>
    </row>
    <row r="535">
      <c r="F535" s="18"/>
    </row>
    <row r="536">
      <c r="F536" s="18"/>
    </row>
    <row r="537">
      <c r="F537" s="18"/>
    </row>
    <row r="538">
      <c r="F538" s="18"/>
    </row>
    <row r="539">
      <c r="F539" s="18"/>
    </row>
    <row r="540">
      <c r="F540" s="18"/>
    </row>
    <row r="541">
      <c r="F541" s="18"/>
    </row>
    <row r="542">
      <c r="F542" s="18"/>
    </row>
    <row r="543">
      <c r="F543" s="18"/>
    </row>
    <row r="544">
      <c r="F544" s="18"/>
    </row>
    <row r="545">
      <c r="F545" s="18"/>
    </row>
    <row r="546">
      <c r="F546" s="18"/>
    </row>
    <row r="547">
      <c r="F547" s="18"/>
    </row>
    <row r="548">
      <c r="F548" s="18"/>
    </row>
    <row r="549">
      <c r="F549" s="18"/>
    </row>
    <row r="550">
      <c r="F550" s="18"/>
    </row>
    <row r="551">
      <c r="F551" s="18"/>
    </row>
    <row r="552">
      <c r="F552" s="18"/>
    </row>
    <row r="553">
      <c r="F553" s="18"/>
    </row>
    <row r="554">
      <c r="F554" s="18"/>
    </row>
    <row r="555">
      <c r="F555" s="18"/>
    </row>
    <row r="556">
      <c r="F556" s="18"/>
    </row>
    <row r="557">
      <c r="F557" s="18"/>
    </row>
    <row r="558">
      <c r="F558" s="18"/>
    </row>
    <row r="559">
      <c r="F559" s="18"/>
    </row>
    <row r="560">
      <c r="F560" s="18"/>
    </row>
    <row r="561">
      <c r="F561" s="18"/>
    </row>
    <row r="562">
      <c r="F562" s="18"/>
    </row>
    <row r="563">
      <c r="F563" s="18"/>
    </row>
    <row r="564">
      <c r="F564" s="18"/>
    </row>
    <row r="565">
      <c r="F565" s="18"/>
    </row>
    <row r="566">
      <c r="F566" s="18"/>
    </row>
    <row r="567">
      <c r="F567" s="18"/>
    </row>
    <row r="568">
      <c r="F568" s="18"/>
    </row>
    <row r="569">
      <c r="F569" s="18"/>
    </row>
    <row r="570">
      <c r="F570" s="18"/>
    </row>
    <row r="571">
      <c r="F571" s="18"/>
    </row>
    <row r="572">
      <c r="F572" s="18"/>
    </row>
    <row r="573">
      <c r="F573" s="18"/>
    </row>
    <row r="574">
      <c r="F574" s="18"/>
    </row>
    <row r="575">
      <c r="F575" s="18"/>
    </row>
    <row r="576">
      <c r="F576" s="18"/>
    </row>
    <row r="577">
      <c r="F577" s="18"/>
    </row>
    <row r="578">
      <c r="F578" s="18"/>
    </row>
    <row r="579">
      <c r="F579" s="18"/>
    </row>
    <row r="580">
      <c r="F580" s="18"/>
    </row>
    <row r="581">
      <c r="F581" s="18"/>
    </row>
    <row r="582">
      <c r="F582" s="18"/>
    </row>
    <row r="583">
      <c r="F583" s="18"/>
    </row>
    <row r="584">
      <c r="F584" s="18"/>
    </row>
    <row r="585">
      <c r="F585" s="18"/>
    </row>
    <row r="586">
      <c r="F586" s="18"/>
    </row>
    <row r="587">
      <c r="F587" s="18"/>
    </row>
    <row r="588">
      <c r="F588" s="18"/>
    </row>
    <row r="589">
      <c r="F589" s="18"/>
    </row>
    <row r="590">
      <c r="F590" s="18"/>
    </row>
    <row r="591">
      <c r="F591" s="18"/>
    </row>
    <row r="592">
      <c r="F592" s="18"/>
    </row>
    <row r="593">
      <c r="F593" s="18"/>
    </row>
    <row r="594">
      <c r="F594" s="18"/>
    </row>
    <row r="595">
      <c r="F595" s="18"/>
    </row>
    <row r="596">
      <c r="F596" s="18"/>
    </row>
    <row r="597">
      <c r="F597" s="18"/>
    </row>
    <row r="598">
      <c r="F598" s="18"/>
    </row>
    <row r="599">
      <c r="F599" s="18"/>
    </row>
    <row r="600">
      <c r="F600" s="18"/>
    </row>
    <row r="601">
      <c r="F601" s="18"/>
    </row>
    <row r="602">
      <c r="F602" s="18"/>
    </row>
    <row r="603">
      <c r="F603" s="18"/>
    </row>
    <row r="604">
      <c r="F604" s="18"/>
    </row>
    <row r="605">
      <c r="F605" s="18"/>
    </row>
    <row r="606">
      <c r="F606" s="18"/>
    </row>
    <row r="607">
      <c r="F607" s="18"/>
    </row>
    <row r="608">
      <c r="F608" s="18"/>
    </row>
    <row r="609">
      <c r="F609" s="18"/>
    </row>
    <row r="610">
      <c r="F610" s="18"/>
    </row>
    <row r="611">
      <c r="F611" s="18"/>
    </row>
    <row r="612">
      <c r="F612" s="18"/>
    </row>
    <row r="613">
      <c r="F613" s="18"/>
    </row>
    <row r="614">
      <c r="F614" s="18"/>
    </row>
    <row r="615">
      <c r="F615" s="18"/>
    </row>
    <row r="616">
      <c r="F616" s="18"/>
    </row>
    <row r="617">
      <c r="F617" s="18"/>
    </row>
    <row r="618">
      <c r="F618" s="18"/>
    </row>
    <row r="619">
      <c r="F619" s="18"/>
    </row>
    <row r="620">
      <c r="F620" s="18"/>
    </row>
    <row r="621">
      <c r="F621" s="18"/>
    </row>
    <row r="622">
      <c r="F622" s="18"/>
    </row>
    <row r="623">
      <c r="F623" s="18"/>
    </row>
    <row r="624">
      <c r="F624" s="18"/>
    </row>
    <row r="625">
      <c r="F625" s="18"/>
    </row>
    <row r="626">
      <c r="F626" s="18"/>
    </row>
    <row r="627">
      <c r="F627" s="18"/>
    </row>
    <row r="628">
      <c r="F628" s="18"/>
    </row>
    <row r="629">
      <c r="F629" s="18"/>
    </row>
    <row r="630">
      <c r="F630" s="18"/>
    </row>
    <row r="631">
      <c r="F631" s="18"/>
    </row>
    <row r="632">
      <c r="F632" s="18"/>
    </row>
    <row r="633">
      <c r="F633" s="18"/>
    </row>
    <row r="634">
      <c r="F634" s="18"/>
    </row>
    <row r="635">
      <c r="F635" s="18"/>
    </row>
    <row r="636">
      <c r="F636" s="18"/>
    </row>
    <row r="637">
      <c r="F637" s="18"/>
    </row>
    <row r="638">
      <c r="F638" s="18"/>
    </row>
    <row r="639">
      <c r="F639" s="18"/>
    </row>
    <row r="640">
      <c r="F640" s="18"/>
    </row>
    <row r="641">
      <c r="F641" s="18"/>
    </row>
    <row r="642">
      <c r="F642" s="18"/>
    </row>
    <row r="643">
      <c r="F643" s="18"/>
    </row>
    <row r="644">
      <c r="F644" s="18"/>
    </row>
    <row r="645">
      <c r="F645" s="18"/>
    </row>
    <row r="646">
      <c r="F646" s="18"/>
    </row>
    <row r="647">
      <c r="F647" s="18"/>
    </row>
    <row r="648">
      <c r="F648" s="18"/>
    </row>
    <row r="649">
      <c r="F649" s="18"/>
    </row>
    <row r="650">
      <c r="F650" s="18"/>
    </row>
    <row r="651">
      <c r="F651" s="18"/>
    </row>
    <row r="652">
      <c r="F652" s="18"/>
    </row>
    <row r="653">
      <c r="F653" s="18"/>
    </row>
    <row r="654">
      <c r="F654" s="18"/>
    </row>
    <row r="655">
      <c r="F655" s="18"/>
    </row>
    <row r="656">
      <c r="F656" s="18"/>
    </row>
    <row r="657">
      <c r="F657" s="18"/>
    </row>
    <row r="658">
      <c r="F658" s="18"/>
    </row>
    <row r="659">
      <c r="F659" s="18"/>
    </row>
    <row r="660">
      <c r="F660" s="18"/>
    </row>
    <row r="661">
      <c r="F661" s="18"/>
    </row>
    <row r="662">
      <c r="F662" s="18"/>
    </row>
    <row r="663">
      <c r="F663" s="18"/>
    </row>
    <row r="664">
      <c r="F664" s="18"/>
    </row>
    <row r="665">
      <c r="F665" s="18"/>
    </row>
    <row r="666">
      <c r="F666" s="18"/>
    </row>
    <row r="667">
      <c r="F667" s="18"/>
    </row>
    <row r="668">
      <c r="F668" s="18"/>
    </row>
    <row r="669">
      <c r="F669" s="18"/>
    </row>
    <row r="670">
      <c r="F670" s="18"/>
    </row>
    <row r="671">
      <c r="F671" s="18"/>
    </row>
    <row r="672">
      <c r="F672" s="18"/>
    </row>
    <row r="673">
      <c r="F673" s="18"/>
    </row>
    <row r="674">
      <c r="F674" s="18"/>
    </row>
    <row r="675">
      <c r="F675" s="18"/>
    </row>
    <row r="676">
      <c r="F676" s="18"/>
    </row>
    <row r="677">
      <c r="F677" s="18"/>
    </row>
    <row r="678">
      <c r="F678" s="18"/>
    </row>
    <row r="679">
      <c r="F679" s="18"/>
    </row>
    <row r="680">
      <c r="F680" s="18"/>
    </row>
    <row r="681">
      <c r="F681" s="18"/>
    </row>
    <row r="682">
      <c r="F682" s="18"/>
    </row>
    <row r="683">
      <c r="F683" s="18"/>
    </row>
    <row r="684">
      <c r="F684" s="18"/>
    </row>
    <row r="685">
      <c r="F685" s="18"/>
    </row>
    <row r="686">
      <c r="F686" s="18"/>
    </row>
    <row r="687">
      <c r="F687" s="18"/>
    </row>
    <row r="688">
      <c r="F688" s="18"/>
    </row>
    <row r="689">
      <c r="F689" s="18"/>
    </row>
    <row r="690">
      <c r="F690" s="18"/>
    </row>
    <row r="691">
      <c r="F691" s="18"/>
    </row>
    <row r="692">
      <c r="F692" s="18"/>
    </row>
    <row r="693">
      <c r="F693" s="18"/>
    </row>
    <row r="694">
      <c r="F694" s="18"/>
    </row>
    <row r="695">
      <c r="F695" s="18"/>
    </row>
    <row r="696">
      <c r="F696" s="18"/>
    </row>
    <row r="697">
      <c r="F697" s="18"/>
    </row>
    <row r="698">
      <c r="F698" s="18"/>
    </row>
    <row r="699">
      <c r="F699" s="18"/>
    </row>
    <row r="700">
      <c r="F700" s="18"/>
    </row>
    <row r="701">
      <c r="F701" s="18"/>
    </row>
    <row r="702">
      <c r="F702" s="18"/>
    </row>
    <row r="703">
      <c r="F703" s="18"/>
    </row>
    <row r="704">
      <c r="F704" s="18"/>
    </row>
    <row r="705">
      <c r="F705" s="18"/>
    </row>
    <row r="706">
      <c r="F706" s="18"/>
    </row>
    <row r="707">
      <c r="F707" s="18"/>
    </row>
    <row r="708">
      <c r="F708" s="18"/>
    </row>
    <row r="709">
      <c r="F709" s="18"/>
    </row>
    <row r="710">
      <c r="F710" s="18"/>
    </row>
    <row r="711">
      <c r="F711" s="18"/>
    </row>
    <row r="712">
      <c r="F712" s="18"/>
    </row>
    <row r="713">
      <c r="F713" s="18"/>
    </row>
    <row r="714">
      <c r="F714" s="18"/>
    </row>
    <row r="715">
      <c r="F715" s="18"/>
    </row>
    <row r="716">
      <c r="F716" s="18"/>
    </row>
    <row r="717">
      <c r="F717" s="18"/>
    </row>
    <row r="718">
      <c r="F718" s="18"/>
    </row>
    <row r="719">
      <c r="F719" s="18"/>
    </row>
    <row r="720">
      <c r="F720" s="18"/>
    </row>
    <row r="721">
      <c r="F721" s="18"/>
    </row>
    <row r="722">
      <c r="F722" s="18"/>
    </row>
    <row r="723">
      <c r="F723" s="18"/>
    </row>
    <row r="724">
      <c r="F724" s="18"/>
    </row>
    <row r="725">
      <c r="F725" s="18"/>
    </row>
    <row r="726">
      <c r="F726" s="18"/>
    </row>
    <row r="727">
      <c r="F727" s="18"/>
    </row>
    <row r="728">
      <c r="F728" s="18"/>
    </row>
    <row r="729">
      <c r="F729" s="18"/>
    </row>
    <row r="730">
      <c r="F730" s="18"/>
    </row>
    <row r="731">
      <c r="F731" s="18"/>
    </row>
    <row r="732">
      <c r="F732" s="18"/>
    </row>
    <row r="733">
      <c r="F733" s="18"/>
    </row>
    <row r="734">
      <c r="F734" s="18"/>
    </row>
    <row r="735">
      <c r="F735" s="18"/>
    </row>
    <row r="736">
      <c r="F736" s="18"/>
    </row>
    <row r="737">
      <c r="F737" s="18"/>
    </row>
    <row r="738">
      <c r="F738" s="18"/>
    </row>
    <row r="739">
      <c r="F739" s="18"/>
    </row>
    <row r="740">
      <c r="F740" s="18"/>
    </row>
    <row r="741">
      <c r="F741" s="18"/>
    </row>
    <row r="742">
      <c r="F742" s="18"/>
    </row>
    <row r="743">
      <c r="F743" s="18"/>
    </row>
    <row r="744">
      <c r="F744" s="18"/>
    </row>
    <row r="745">
      <c r="F745" s="18"/>
    </row>
    <row r="746">
      <c r="F746" s="18"/>
    </row>
    <row r="747">
      <c r="F747" s="18"/>
    </row>
    <row r="748">
      <c r="F748" s="18"/>
    </row>
    <row r="749">
      <c r="F749" s="18"/>
    </row>
    <row r="750">
      <c r="F750" s="18"/>
    </row>
    <row r="751">
      <c r="F751" s="18"/>
    </row>
    <row r="752">
      <c r="F752" s="18"/>
    </row>
    <row r="753">
      <c r="F753" s="18"/>
    </row>
    <row r="754">
      <c r="F754" s="18"/>
    </row>
    <row r="755">
      <c r="F755" s="18"/>
    </row>
    <row r="756">
      <c r="F756" s="18"/>
    </row>
    <row r="757">
      <c r="F757" s="18"/>
    </row>
    <row r="758">
      <c r="F758" s="18"/>
    </row>
    <row r="759">
      <c r="F759" s="18"/>
    </row>
    <row r="760">
      <c r="F760" s="18"/>
    </row>
    <row r="761">
      <c r="F761" s="18"/>
    </row>
    <row r="762">
      <c r="F762" s="18"/>
    </row>
    <row r="763">
      <c r="F763" s="18"/>
    </row>
    <row r="764">
      <c r="F764" s="18"/>
    </row>
    <row r="765">
      <c r="F765" s="18"/>
    </row>
    <row r="766">
      <c r="F766" s="18"/>
    </row>
    <row r="767">
      <c r="F767" s="18"/>
    </row>
    <row r="768">
      <c r="F768" s="18"/>
    </row>
    <row r="769">
      <c r="F769" s="18"/>
    </row>
    <row r="770">
      <c r="F770" s="18"/>
    </row>
    <row r="771">
      <c r="F771" s="18"/>
    </row>
    <row r="772">
      <c r="F772" s="18"/>
    </row>
    <row r="773">
      <c r="F773" s="18"/>
    </row>
    <row r="774">
      <c r="F774" s="18"/>
    </row>
    <row r="775">
      <c r="F775" s="18"/>
    </row>
    <row r="776">
      <c r="F776" s="18"/>
    </row>
    <row r="777">
      <c r="F777" s="18"/>
    </row>
    <row r="778">
      <c r="F778" s="18"/>
    </row>
    <row r="779">
      <c r="F779" s="18"/>
    </row>
    <row r="780">
      <c r="F780" s="18"/>
    </row>
    <row r="781">
      <c r="F781" s="18"/>
    </row>
    <row r="782">
      <c r="F782" s="18"/>
    </row>
    <row r="783">
      <c r="F783" s="18"/>
    </row>
    <row r="784">
      <c r="F784" s="18"/>
    </row>
    <row r="785">
      <c r="F785" s="18"/>
    </row>
    <row r="786">
      <c r="F786" s="18"/>
    </row>
    <row r="787">
      <c r="F787" s="18"/>
    </row>
    <row r="788">
      <c r="F788" s="18"/>
    </row>
    <row r="789">
      <c r="F789" s="18"/>
    </row>
    <row r="790">
      <c r="F790" s="18"/>
    </row>
    <row r="791">
      <c r="F791" s="18"/>
    </row>
    <row r="792">
      <c r="F792" s="18"/>
    </row>
    <row r="793">
      <c r="F793" s="18"/>
    </row>
    <row r="794">
      <c r="F794" s="18"/>
    </row>
    <row r="795">
      <c r="F795" s="18"/>
    </row>
    <row r="796">
      <c r="F796" s="18"/>
    </row>
    <row r="797">
      <c r="F797" s="18"/>
    </row>
    <row r="798">
      <c r="F798" s="18"/>
    </row>
    <row r="799">
      <c r="F799" s="18"/>
    </row>
    <row r="800">
      <c r="F800" s="18"/>
    </row>
    <row r="801">
      <c r="F801" s="18"/>
    </row>
    <row r="802">
      <c r="F802" s="18"/>
    </row>
    <row r="803">
      <c r="F803" s="18"/>
    </row>
    <row r="804">
      <c r="F804" s="18"/>
    </row>
    <row r="805">
      <c r="F805" s="18"/>
    </row>
    <row r="806">
      <c r="F806" s="18"/>
    </row>
    <row r="807">
      <c r="F807" s="18"/>
    </row>
    <row r="808">
      <c r="F808" s="18"/>
    </row>
    <row r="809">
      <c r="F809" s="18"/>
    </row>
    <row r="810">
      <c r="F810" s="18"/>
    </row>
    <row r="811">
      <c r="F811" s="18"/>
    </row>
    <row r="812">
      <c r="F812" s="18"/>
    </row>
    <row r="813">
      <c r="F813" s="18"/>
    </row>
    <row r="814">
      <c r="F814" s="18"/>
    </row>
    <row r="815">
      <c r="F815" s="18"/>
    </row>
    <row r="816">
      <c r="F816" s="18"/>
    </row>
    <row r="817">
      <c r="F817" s="18"/>
    </row>
    <row r="818">
      <c r="F818" s="18"/>
    </row>
    <row r="819">
      <c r="F819" s="18"/>
    </row>
    <row r="820">
      <c r="F820" s="18"/>
    </row>
    <row r="821">
      <c r="F821" s="18"/>
    </row>
    <row r="822">
      <c r="F822" s="18"/>
    </row>
    <row r="823">
      <c r="F823" s="18"/>
    </row>
    <row r="824">
      <c r="F824" s="18"/>
    </row>
    <row r="825">
      <c r="F825" s="18"/>
    </row>
    <row r="826">
      <c r="F826" s="18"/>
    </row>
    <row r="827">
      <c r="F827" s="18"/>
    </row>
    <row r="828">
      <c r="F828" s="18"/>
    </row>
    <row r="829">
      <c r="F829" s="18"/>
    </row>
    <row r="830">
      <c r="F830" s="18"/>
    </row>
    <row r="831">
      <c r="F831" s="18"/>
    </row>
    <row r="832">
      <c r="F832" s="18"/>
    </row>
    <row r="833">
      <c r="F833" s="18"/>
    </row>
    <row r="834">
      <c r="F834" s="18"/>
    </row>
    <row r="835">
      <c r="F835" s="18"/>
    </row>
    <row r="836">
      <c r="F836" s="18"/>
    </row>
    <row r="837">
      <c r="F837" s="18"/>
    </row>
    <row r="838">
      <c r="F838" s="18"/>
    </row>
    <row r="839">
      <c r="F839" s="18"/>
    </row>
    <row r="840">
      <c r="F840" s="18"/>
    </row>
    <row r="841">
      <c r="F841" s="18"/>
    </row>
    <row r="842">
      <c r="F842" s="18"/>
    </row>
    <row r="843">
      <c r="F843" s="18"/>
    </row>
    <row r="844">
      <c r="F844" s="18"/>
    </row>
    <row r="845">
      <c r="F845" s="18"/>
    </row>
    <row r="846">
      <c r="F846" s="18"/>
    </row>
    <row r="847">
      <c r="F847" s="18"/>
    </row>
    <row r="848">
      <c r="F848" s="18"/>
    </row>
    <row r="849">
      <c r="F849" s="18"/>
    </row>
    <row r="850">
      <c r="F850" s="18"/>
    </row>
    <row r="851">
      <c r="F851" s="18"/>
    </row>
    <row r="852">
      <c r="F852" s="18"/>
    </row>
    <row r="853">
      <c r="F853" s="18"/>
    </row>
    <row r="854">
      <c r="F854" s="18"/>
    </row>
    <row r="855">
      <c r="F855" s="18"/>
    </row>
    <row r="856">
      <c r="F856" s="18"/>
    </row>
    <row r="857">
      <c r="F857" s="18"/>
    </row>
    <row r="858">
      <c r="F858" s="18"/>
    </row>
    <row r="859">
      <c r="F859" s="18"/>
    </row>
    <row r="860">
      <c r="F860" s="18"/>
    </row>
    <row r="861">
      <c r="F861" s="18"/>
    </row>
    <row r="862">
      <c r="F862" s="18"/>
    </row>
    <row r="863">
      <c r="F863" s="18"/>
    </row>
    <row r="864">
      <c r="F864" s="18"/>
    </row>
    <row r="865">
      <c r="F865" s="18"/>
    </row>
    <row r="866">
      <c r="F866" s="18"/>
    </row>
    <row r="867">
      <c r="F867" s="18"/>
    </row>
    <row r="868">
      <c r="F868" s="18"/>
    </row>
    <row r="869">
      <c r="F869" s="18"/>
    </row>
    <row r="870">
      <c r="F870" s="18"/>
    </row>
    <row r="871">
      <c r="F871" s="18"/>
    </row>
    <row r="872">
      <c r="F872" s="18"/>
    </row>
    <row r="873">
      <c r="F873" s="18"/>
    </row>
    <row r="874">
      <c r="F874" s="18"/>
    </row>
    <row r="875">
      <c r="F875" s="18"/>
    </row>
    <row r="876">
      <c r="F876" s="18"/>
    </row>
    <row r="877">
      <c r="F877" s="18"/>
    </row>
    <row r="878">
      <c r="F878" s="18"/>
    </row>
    <row r="879">
      <c r="F879" s="18"/>
    </row>
    <row r="880">
      <c r="F880" s="18"/>
    </row>
    <row r="881">
      <c r="F881" s="18"/>
    </row>
    <row r="882">
      <c r="F882" s="18"/>
    </row>
    <row r="883">
      <c r="F883" s="18"/>
    </row>
    <row r="884">
      <c r="F884" s="18"/>
    </row>
    <row r="885">
      <c r="F885" s="18"/>
    </row>
    <row r="886">
      <c r="F886" s="18"/>
    </row>
    <row r="887">
      <c r="F887" s="18"/>
    </row>
    <row r="888">
      <c r="F888" s="18"/>
    </row>
    <row r="889">
      <c r="F889" s="18"/>
    </row>
    <row r="890">
      <c r="F890" s="18"/>
    </row>
    <row r="891">
      <c r="F891" s="18"/>
    </row>
    <row r="892">
      <c r="F892" s="18"/>
    </row>
    <row r="893">
      <c r="F893" s="18"/>
    </row>
    <row r="894">
      <c r="F894" s="18"/>
    </row>
    <row r="895">
      <c r="F895" s="18"/>
    </row>
    <row r="896">
      <c r="F896" s="18"/>
    </row>
    <row r="897">
      <c r="F897" s="18"/>
    </row>
    <row r="898">
      <c r="F898" s="18"/>
    </row>
    <row r="899">
      <c r="F899" s="18"/>
    </row>
    <row r="900">
      <c r="F900" s="18"/>
    </row>
    <row r="901">
      <c r="F901" s="18"/>
    </row>
    <row r="902">
      <c r="F902" s="18"/>
    </row>
    <row r="903">
      <c r="F903" s="18"/>
    </row>
    <row r="904">
      <c r="F904" s="18"/>
    </row>
    <row r="905">
      <c r="F905" s="18"/>
    </row>
    <row r="906">
      <c r="F906" s="18"/>
    </row>
    <row r="907">
      <c r="F907" s="18"/>
    </row>
    <row r="908">
      <c r="F908" s="18"/>
    </row>
    <row r="909">
      <c r="F909" s="18"/>
    </row>
    <row r="910">
      <c r="F910" s="18"/>
    </row>
    <row r="911">
      <c r="F911" s="18"/>
    </row>
    <row r="912">
      <c r="F912" s="18"/>
    </row>
    <row r="913">
      <c r="F913" s="18"/>
    </row>
    <row r="914">
      <c r="F914" s="18"/>
    </row>
    <row r="915">
      <c r="F915" s="18"/>
    </row>
    <row r="916">
      <c r="F916" s="18"/>
    </row>
    <row r="917">
      <c r="F917" s="18"/>
    </row>
    <row r="918">
      <c r="F918" s="18"/>
    </row>
    <row r="919">
      <c r="F919" s="18"/>
    </row>
    <row r="920">
      <c r="F920" s="18"/>
    </row>
    <row r="921">
      <c r="F921" s="18"/>
    </row>
    <row r="922">
      <c r="F922" s="18"/>
    </row>
    <row r="923">
      <c r="F923" s="18"/>
    </row>
    <row r="924">
      <c r="F924" s="18"/>
    </row>
    <row r="925">
      <c r="F925" s="18"/>
    </row>
    <row r="926">
      <c r="F926" s="18"/>
    </row>
    <row r="927">
      <c r="F927" s="18"/>
    </row>
    <row r="928">
      <c r="F928" s="18"/>
    </row>
    <row r="929">
      <c r="F929" s="18"/>
    </row>
    <row r="930">
      <c r="F930" s="18"/>
    </row>
    <row r="931">
      <c r="F931" s="18"/>
    </row>
    <row r="932">
      <c r="F932" s="18"/>
    </row>
    <row r="933">
      <c r="F933" s="18"/>
    </row>
    <row r="934">
      <c r="F934" s="18"/>
    </row>
    <row r="935">
      <c r="F935" s="18"/>
    </row>
    <row r="936">
      <c r="F936" s="18"/>
    </row>
    <row r="937">
      <c r="F937" s="18"/>
    </row>
    <row r="938">
      <c r="F938" s="18"/>
    </row>
    <row r="939">
      <c r="F939" s="18"/>
    </row>
    <row r="940">
      <c r="F940" s="18"/>
    </row>
    <row r="941">
      <c r="F941" s="18"/>
    </row>
    <row r="942">
      <c r="F942" s="18"/>
    </row>
    <row r="943">
      <c r="F943" s="18"/>
    </row>
    <row r="944">
      <c r="F944" s="18"/>
    </row>
    <row r="945">
      <c r="F945" s="18"/>
    </row>
    <row r="946">
      <c r="F946" s="18"/>
    </row>
    <row r="947">
      <c r="F947" s="18"/>
    </row>
    <row r="948">
      <c r="F948" s="18"/>
    </row>
    <row r="949">
      <c r="F949" s="18"/>
    </row>
    <row r="950">
      <c r="F950" s="18"/>
    </row>
    <row r="951">
      <c r="F951" s="18"/>
    </row>
    <row r="952">
      <c r="F952" s="18"/>
    </row>
    <row r="953">
      <c r="F953" s="18"/>
    </row>
    <row r="954">
      <c r="F954" s="18"/>
    </row>
    <row r="955">
      <c r="F955" s="18"/>
    </row>
    <row r="956">
      <c r="F956" s="18"/>
    </row>
    <row r="957">
      <c r="F957" s="18"/>
    </row>
    <row r="958">
      <c r="F958" s="18"/>
    </row>
    <row r="959">
      <c r="F959" s="18"/>
    </row>
    <row r="960">
      <c r="F960" s="18"/>
    </row>
    <row r="961">
      <c r="F961" s="18"/>
    </row>
    <row r="962">
      <c r="F962" s="18"/>
    </row>
    <row r="963">
      <c r="F963" s="18"/>
    </row>
    <row r="964">
      <c r="F964" s="18"/>
    </row>
    <row r="965">
      <c r="F965" s="18"/>
    </row>
    <row r="966">
      <c r="F966" s="18"/>
    </row>
    <row r="967">
      <c r="F967" s="18"/>
    </row>
    <row r="968">
      <c r="F968" s="18"/>
    </row>
    <row r="969">
      <c r="F969" s="18"/>
    </row>
    <row r="970">
      <c r="F970" s="18"/>
    </row>
    <row r="971">
      <c r="F971" s="18"/>
    </row>
    <row r="972">
      <c r="F972" s="18"/>
    </row>
    <row r="973">
      <c r="F973" s="18"/>
    </row>
    <row r="974">
      <c r="F974" s="18"/>
    </row>
    <row r="975">
      <c r="F975" s="18"/>
    </row>
    <row r="976">
      <c r="F976" s="18"/>
    </row>
    <row r="977">
      <c r="F977" s="18"/>
    </row>
    <row r="978">
      <c r="F978" s="18"/>
    </row>
    <row r="979">
      <c r="F979" s="18"/>
    </row>
    <row r="980">
      <c r="F980" s="18"/>
    </row>
    <row r="981">
      <c r="F981" s="18"/>
    </row>
    <row r="982">
      <c r="F982" s="18"/>
    </row>
    <row r="983">
      <c r="F983" s="18"/>
    </row>
    <row r="984">
      <c r="F984" s="18"/>
    </row>
    <row r="985">
      <c r="F985" s="18"/>
    </row>
    <row r="986">
      <c r="F986" s="18"/>
    </row>
    <row r="987">
      <c r="F987" s="18"/>
    </row>
    <row r="988">
      <c r="F988" s="18"/>
    </row>
    <row r="989">
      <c r="F989" s="18"/>
    </row>
    <row r="990">
      <c r="F990" s="18"/>
    </row>
    <row r="991">
      <c r="F991" s="18"/>
    </row>
    <row r="992">
      <c r="F992" s="18"/>
    </row>
    <row r="993">
      <c r="F993" s="18"/>
    </row>
    <row r="994">
      <c r="F994" s="18"/>
    </row>
    <row r="995">
      <c r="F995" s="18"/>
    </row>
    <row r="996">
      <c r="F996" s="18"/>
    </row>
    <row r="997">
      <c r="F997" s="18"/>
    </row>
    <row r="998">
      <c r="F998" s="18"/>
    </row>
    <row r="999">
      <c r="F999" s="18"/>
    </row>
    <row r="1000">
      <c r="F1000" s="18"/>
    </row>
  </sheetData>
  <mergeCells count="1">
    <mergeCell ref="A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75"/>
    <col customWidth="1" min="5" max="5" width="20.75"/>
    <col customWidth="1" min="6" max="6" width="84.5"/>
    <col customWidth="1" min="14" max="14" width="17.13"/>
    <col customWidth="1" min="15" max="15" width="43.25"/>
    <col customWidth="1" min="16" max="16" width="14.88"/>
    <col customWidth="1" min="17" max="17" width="36.38"/>
    <col customWidth="1" min="18" max="18" width="30.38"/>
  </cols>
  <sheetData>
    <row r="2">
      <c r="A2" s="30" t="s">
        <v>98</v>
      </c>
      <c r="G2" s="31"/>
      <c r="H2" s="31"/>
      <c r="I2" s="31"/>
      <c r="J2" s="31"/>
      <c r="K2" s="31"/>
      <c r="L2" s="31"/>
      <c r="M2" s="31"/>
      <c r="N2" s="31"/>
      <c r="O2" s="31"/>
      <c r="P2" s="31"/>
      <c r="Q2" s="31"/>
      <c r="R2" s="31"/>
      <c r="S2" s="31"/>
      <c r="T2" s="31"/>
      <c r="U2" s="31"/>
      <c r="V2" s="31"/>
      <c r="W2" s="15"/>
      <c r="X2" s="15"/>
      <c r="Y2" s="15"/>
      <c r="Z2" s="15"/>
    </row>
    <row r="3">
      <c r="A3" s="30" t="s">
        <v>41</v>
      </c>
      <c r="B3" s="30" t="s">
        <v>3</v>
      </c>
      <c r="C3" s="30" t="s">
        <v>42</v>
      </c>
      <c r="D3" s="30" t="s">
        <v>43</v>
      </c>
      <c r="E3" s="30" t="s">
        <v>44</v>
      </c>
      <c r="F3" s="30" t="s">
        <v>99</v>
      </c>
      <c r="G3" s="30" t="s">
        <v>16</v>
      </c>
      <c r="H3" s="30" t="s">
        <v>17</v>
      </c>
      <c r="I3" s="30" t="s">
        <v>18</v>
      </c>
      <c r="J3" s="30" t="s">
        <v>19</v>
      </c>
      <c r="K3" s="30" t="s">
        <v>20</v>
      </c>
      <c r="L3" s="30" t="s">
        <v>21</v>
      </c>
      <c r="M3" s="30" t="s">
        <v>22</v>
      </c>
      <c r="N3" s="30" t="s">
        <v>23</v>
      </c>
      <c r="O3" s="30" t="s">
        <v>46</v>
      </c>
      <c r="P3" s="30" t="s">
        <v>47</v>
      </c>
      <c r="Q3" s="30" t="s">
        <v>48</v>
      </c>
      <c r="R3" s="30" t="s">
        <v>49</v>
      </c>
      <c r="S3" s="30" t="s">
        <v>50</v>
      </c>
      <c r="T3" s="32"/>
      <c r="U3" s="32"/>
      <c r="V3" s="32"/>
      <c r="W3" s="33"/>
      <c r="X3" s="33"/>
      <c r="Y3" s="33"/>
      <c r="Z3" s="33"/>
    </row>
    <row r="4">
      <c r="A4" s="34">
        <v>1.0</v>
      </c>
      <c r="B4" s="35" t="s">
        <v>100</v>
      </c>
      <c r="C4" s="34">
        <f t="shared" ref="C4:C5" si="1">D4+E4</f>
        <v>7</v>
      </c>
      <c r="D4" s="34">
        <f t="shared" ref="D4:D5" si="2">sum(G4:N4)</f>
        <v>6</v>
      </c>
      <c r="E4" s="34">
        <v>1.0</v>
      </c>
      <c r="F4" s="36" t="s">
        <v>101</v>
      </c>
      <c r="G4" s="34">
        <v>3.0</v>
      </c>
      <c r="H4" s="34">
        <v>1.0</v>
      </c>
      <c r="I4" s="37"/>
      <c r="J4" s="37"/>
      <c r="K4" s="37"/>
      <c r="L4" s="34">
        <v>0.5</v>
      </c>
      <c r="M4" s="34">
        <v>1.0</v>
      </c>
      <c r="N4" s="34">
        <v>0.5</v>
      </c>
      <c r="O4" s="36" t="s">
        <v>102</v>
      </c>
      <c r="P4" s="36" t="s">
        <v>103</v>
      </c>
      <c r="Q4" s="36" t="s">
        <v>104</v>
      </c>
      <c r="R4" s="36" t="s">
        <v>105</v>
      </c>
      <c r="S4" s="34">
        <v>8.0</v>
      </c>
      <c r="T4" s="37"/>
      <c r="U4" s="37"/>
      <c r="V4" s="37"/>
      <c r="W4" s="38"/>
      <c r="X4" s="38"/>
      <c r="Y4" s="38"/>
      <c r="Z4" s="38"/>
    </row>
    <row r="5">
      <c r="A5" s="34">
        <v>2.0</v>
      </c>
      <c r="B5" s="35" t="s">
        <v>57</v>
      </c>
      <c r="C5" s="34">
        <f t="shared" si="1"/>
        <v>11</v>
      </c>
      <c r="D5" s="34">
        <f t="shared" si="2"/>
        <v>10</v>
      </c>
      <c r="E5" s="34">
        <v>1.0</v>
      </c>
      <c r="F5" s="36" t="s">
        <v>106</v>
      </c>
      <c r="G5" s="34">
        <v>2.0</v>
      </c>
      <c r="H5" s="34">
        <v>2.0</v>
      </c>
      <c r="I5" s="37"/>
      <c r="J5" s="37"/>
      <c r="K5" s="37"/>
      <c r="L5" s="34">
        <v>1.0</v>
      </c>
      <c r="M5" s="34">
        <v>1.0</v>
      </c>
      <c r="N5" s="34">
        <v>4.0</v>
      </c>
      <c r="O5" s="36" t="s">
        <v>107</v>
      </c>
      <c r="P5" s="36" t="s">
        <v>108</v>
      </c>
      <c r="Q5" s="36" t="s">
        <v>109</v>
      </c>
      <c r="R5" s="36" t="s">
        <v>110</v>
      </c>
      <c r="S5" s="34">
        <v>9.0</v>
      </c>
      <c r="T5" s="37"/>
      <c r="U5" s="37"/>
      <c r="V5" s="37"/>
      <c r="W5" s="38"/>
      <c r="X5" s="38"/>
      <c r="Y5" s="38"/>
      <c r="Z5" s="38"/>
    </row>
    <row r="6">
      <c r="A6" s="14">
        <v>3.0</v>
      </c>
      <c r="B6" s="39" t="s">
        <v>62</v>
      </c>
      <c r="C6" s="14">
        <v>11.0</v>
      </c>
      <c r="D6" s="14">
        <v>10.0</v>
      </c>
      <c r="E6" s="14">
        <v>1.0</v>
      </c>
      <c r="F6" s="40" t="s">
        <v>111</v>
      </c>
      <c r="G6" s="17">
        <v>2.0</v>
      </c>
      <c r="H6" s="17">
        <v>2.0</v>
      </c>
      <c r="I6" s="17">
        <v>2.0</v>
      </c>
      <c r="J6" s="41"/>
      <c r="K6" s="41"/>
      <c r="L6" s="14">
        <v>0.5</v>
      </c>
      <c r="M6" s="41"/>
      <c r="N6" s="17">
        <v>3.5</v>
      </c>
      <c r="O6" s="40" t="s">
        <v>112</v>
      </c>
      <c r="P6" s="40" t="s">
        <v>113</v>
      </c>
      <c r="Q6" s="40" t="s">
        <v>114</v>
      </c>
      <c r="R6" s="40" t="s">
        <v>115</v>
      </c>
      <c r="S6" s="14">
        <v>15.0</v>
      </c>
      <c r="T6" s="15"/>
      <c r="U6" s="15"/>
      <c r="V6" s="15"/>
      <c r="W6" s="15"/>
      <c r="X6" s="15"/>
      <c r="Y6" s="15"/>
      <c r="Z6" s="15"/>
    </row>
    <row r="7">
      <c r="A7" s="14">
        <v>4.0</v>
      </c>
      <c r="B7" s="39" t="s">
        <v>68</v>
      </c>
      <c r="C7" s="14">
        <v>15.5</v>
      </c>
      <c r="D7" s="14">
        <v>14.5</v>
      </c>
      <c r="E7" s="14">
        <v>1.0</v>
      </c>
      <c r="F7" s="40" t="s">
        <v>116</v>
      </c>
      <c r="G7" s="14">
        <v>2.0</v>
      </c>
      <c r="H7" s="15"/>
      <c r="I7" s="17">
        <v>2.0</v>
      </c>
      <c r="J7" s="14">
        <v>2.0</v>
      </c>
      <c r="K7" s="14">
        <v>4.0</v>
      </c>
      <c r="L7" s="14">
        <v>0.5</v>
      </c>
      <c r="M7" s="14">
        <v>4.0</v>
      </c>
      <c r="N7" s="15"/>
      <c r="O7" s="40" t="s">
        <v>117</v>
      </c>
      <c r="P7" s="40" t="s">
        <v>118</v>
      </c>
      <c r="Q7" s="40" t="s">
        <v>119</v>
      </c>
      <c r="R7" s="40" t="s">
        <v>120</v>
      </c>
      <c r="S7" s="14">
        <v>18.0</v>
      </c>
      <c r="T7" s="15"/>
      <c r="U7" s="15"/>
      <c r="V7" s="15"/>
      <c r="W7" s="15"/>
      <c r="X7" s="15"/>
      <c r="Y7" s="15"/>
      <c r="Z7" s="15"/>
    </row>
    <row r="8">
      <c r="A8" s="14">
        <v>5.0</v>
      </c>
      <c r="B8" s="39" t="s">
        <v>74</v>
      </c>
      <c r="C8" s="14">
        <v>22.0</v>
      </c>
      <c r="D8" s="14">
        <v>20.5</v>
      </c>
      <c r="E8" s="14">
        <v>1.5</v>
      </c>
      <c r="F8" s="40" t="s">
        <v>121</v>
      </c>
      <c r="H8" s="14">
        <v>1.5</v>
      </c>
      <c r="I8" s="17">
        <v>5.0</v>
      </c>
      <c r="J8" s="14">
        <v>3.0</v>
      </c>
      <c r="K8" s="17">
        <v>4.0</v>
      </c>
      <c r="L8" s="14">
        <v>1.0</v>
      </c>
      <c r="M8" s="17">
        <v>6.0</v>
      </c>
      <c r="N8" s="15"/>
      <c r="O8" s="40" t="s">
        <v>122</v>
      </c>
      <c r="P8" s="40" t="s">
        <v>123</v>
      </c>
      <c r="Q8" s="40" t="s">
        <v>124</v>
      </c>
      <c r="R8" s="40" t="s">
        <v>125</v>
      </c>
      <c r="S8" s="14">
        <v>12.0</v>
      </c>
      <c r="T8" s="15"/>
      <c r="U8" s="15"/>
      <c r="V8" s="15"/>
      <c r="W8" s="15"/>
      <c r="X8" s="15"/>
      <c r="Y8" s="15"/>
      <c r="Z8" s="15"/>
    </row>
    <row r="9">
      <c r="A9" s="14">
        <v>6.0</v>
      </c>
      <c r="B9" s="40" t="s">
        <v>80</v>
      </c>
      <c r="C9" s="17">
        <v>10.5</v>
      </c>
      <c r="D9" s="17">
        <v>9.5</v>
      </c>
      <c r="E9" s="14">
        <v>1.0</v>
      </c>
      <c r="F9" s="11" t="s">
        <v>126</v>
      </c>
      <c r="H9" s="14">
        <v>1.0</v>
      </c>
      <c r="I9" s="17">
        <v>5.0</v>
      </c>
      <c r="J9" s="15"/>
      <c r="K9" s="17">
        <v>3.0</v>
      </c>
      <c r="L9" s="14">
        <v>0.5</v>
      </c>
      <c r="M9" s="15"/>
      <c r="N9" s="15"/>
      <c r="O9" s="11" t="s">
        <v>127</v>
      </c>
      <c r="P9" s="39" t="s">
        <v>128</v>
      </c>
      <c r="Q9" s="39" t="s">
        <v>129</v>
      </c>
      <c r="R9" s="39" t="s">
        <v>130</v>
      </c>
      <c r="S9" s="14">
        <v>13.0</v>
      </c>
      <c r="T9" s="15"/>
      <c r="U9" s="15"/>
      <c r="V9" s="15"/>
      <c r="W9" s="15"/>
      <c r="X9" s="15"/>
      <c r="Y9" s="15"/>
      <c r="Z9" s="15"/>
    </row>
    <row r="10">
      <c r="A10" s="14">
        <v>7.0</v>
      </c>
      <c r="B10" s="40" t="s">
        <v>86</v>
      </c>
      <c r="C10" s="17">
        <v>11.0</v>
      </c>
      <c r="D10" s="17">
        <v>10.0</v>
      </c>
      <c r="E10" s="14">
        <v>1.0</v>
      </c>
      <c r="F10" s="11" t="s">
        <v>131</v>
      </c>
      <c r="H10" s="14">
        <v>1.0</v>
      </c>
      <c r="I10" s="17">
        <v>5.0</v>
      </c>
      <c r="J10" s="15"/>
      <c r="K10" s="17">
        <v>3.0</v>
      </c>
      <c r="L10" s="14">
        <v>1.0</v>
      </c>
      <c r="M10" s="15"/>
      <c r="N10" s="15"/>
      <c r="O10" s="11" t="s">
        <v>132</v>
      </c>
      <c r="P10" s="39" t="s">
        <v>133</v>
      </c>
      <c r="Q10" s="39" t="s">
        <v>134</v>
      </c>
      <c r="R10" s="39" t="s">
        <v>130</v>
      </c>
      <c r="S10" s="14">
        <v>18.0</v>
      </c>
      <c r="T10" s="15"/>
      <c r="U10" s="15"/>
      <c r="V10" s="15"/>
      <c r="W10" s="15"/>
      <c r="X10" s="15"/>
      <c r="Y10" s="15"/>
      <c r="Z10" s="15"/>
    </row>
    <row r="11">
      <c r="A11" s="14">
        <v>8.0</v>
      </c>
      <c r="B11" s="40" t="s">
        <v>92</v>
      </c>
      <c r="C11" s="17">
        <v>17.0</v>
      </c>
      <c r="D11" s="17">
        <v>15.5</v>
      </c>
      <c r="E11" s="14">
        <v>1.5</v>
      </c>
      <c r="F11" s="11" t="s">
        <v>135</v>
      </c>
      <c r="H11" s="14">
        <v>1.0</v>
      </c>
      <c r="I11" s="17">
        <v>4.0</v>
      </c>
      <c r="J11" s="17">
        <v>1.0</v>
      </c>
      <c r="K11" s="17">
        <v>4.0</v>
      </c>
      <c r="L11" s="14">
        <v>0.5</v>
      </c>
      <c r="M11" s="17">
        <v>3.0</v>
      </c>
      <c r="N11" s="17">
        <v>2.0</v>
      </c>
      <c r="O11" s="11" t="s">
        <v>136</v>
      </c>
      <c r="P11" s="39" t="s">
        <v>137</v>
      </c>
      <c r="Q11" s="39" t="s">
        <v>138</v>
      </c>
      <c r="R11" s="39" t="s">
        <v>139</v>
      </c>
      <c r="S11" s="14">
        <v>15.0</v>
      </c>
      <c r="T11" s="15"/>
      <c r="U11" s="15"/>
      <c r="V11" s="15"/>
      <c r="W11" s="15"/>
      <c r="X11" s="15"/>
      <c r="Y11" s="15"/>
      <c r="Z11" s="15"/>
    </row>
  </sheetData>
  <mergeCells count="5">
    <mergeCell ref="A2:F2"/>
    <mergeCell ref="F8:G8"/>
    <mergeCell ref="F9:G9"/>
    <mergeCell ref="F10:G10"/>
    <mergeCell ref="F11:G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5.5"/>
    <col customWidth="1" min="15" max="15" width="56.88"/>
    <col customWidth="1" min="16" max="16" width="72.38"/>
    <col customWidth="1" min="17" max="17" width="67.38"/>
    <col customWidth="1" min="18" max="18" width="47.5"/>
  </cols>
  <sheetData>
    <row r="1">
      <c r="A1" s="1"/>
      <c r="B1" s="19"/>
      <c r="C1" s="19"/>
      <c r="D1" s="19"/>
      <c r="E1" s="19"/>
      <c r="F1" s="19"/>
      <c r="G1" s="42"/>
      <c r="H1" s="42"/>
      <c r="I1" s="42"/>
      <c r="J1" s="42"/>
      <c r="K1" s="42"/>
      <c r="L1" s="42"/>
      <c r="M1" s="19"/>
      <c r="N1" s="19"/>
      <c r="O1" s="19"/>
      <c r="P1" s="8"/>
      <c r="Q1" s="8"/>
      <c r="R1" s="42"/>
      <c r="S1" s="42"/>
    </row>
    <row r="2">
      <c r="A2" s="19" t="s">
        <v>140</v>
      </c>
      <c r="G2" s="42"/>
      <c r="H2" s="42"/>
      <c r="I2" s="42"/>
      <c r="J2" s="42"/>
      <c r="K2" s="42"/>
      <c r="L2" s="42"/>
      <c r="M2" s="19"/>
      <c r="N2" s="19"/>
      <c r="O2" s="19"/>
      <c r="P2" s="8"/>
      <c r="Q2" s="8"/>
      <c r="R2" s="42"/>
      <c r="S2" s="42"/>
    </row>
    <row r="3">
      <c r="A3" s="2" t="s">
        <v>41</v>
      </c>
      <c r="B3" s="2" t="s">
        <v>3</v>
      </c>
      <c r="C3" s="5" t="s">
        <v>42</v>
      </c>
      <c r="D3" s="5" t="s">
        <v>43</v>
      </c>
      <c r="E3" s="2" t="s">
        <v>44</v>
      </c>
      <c r="F3" s="2" t="s">
        <v>45</v>
      </c>
      <c r="G3" s="5" t="s">
        <v>16</v>
      </c>
      <c r="H3" s="5" t="s">
        <v>17</v>
      </c>
      <c r="I3" s="5" t="s">
        <v>18</v>
      </c>
      <c r="J3" s="5" t="s">
        <v>19</v>
      </c>
      <c r="K3" s="5" t="s">
        <v>20</v>
      </c>
      <c r="L3" s="5" t="s">
        <v>21</v>
      </c>
      <c r="M3" s="2" t="s">
        <v>22</v>
      </c>
      <c r="N3" s="2" t="s">
        <v>23</v>
      </c>
      <c r="O3" s="2" t="s">
        <v>46</v>
      </c>
      <c r="P3" s="3" t="s">
        <v>47</v>
      </c>
      <c r="Q3" s="3" t="s">
        <v>48</v>
      </c>
      <c r="R3" s="5" t="s">
        <v>49</v>
      </c>
      <c r="S3" s="22" t="s">
        <v>50</v>
      </c>
    </row>
    <row r="4">
      <c r="A4" s="23">
        <v>1.0</v>
      </c>
      <c r="B4" s="24" t="s">
        <v>100</v>
      </c>
      <c r="C4" s="23">
        <v>6.0</v>
      </c>
      <c r="D4" s="23">
        <f t="shared" ref="D4:D11" si="1">C4-E4</f>
        <v>4</v>
      </c>
      <c r="E4" s="23">
        <f t="shared" ref="E4:E11" si="2">L4</f>
        <v>2</v>
      </c>
      <c r="F4" s="24" t="s">
        <v>141</v>
      </c>
      <c r="G4" s="23">
        <v>2.0</v>
      </c>
      <c r="H4" s="23">
        <v>1.0</v>
      </c>
      <c r="I4" s="23">
        <v>0.0</v>
      </c>
      <c r="J4" s="23">
        <v>0.0</v>
      </c>
      <c r="K4" s="23">
        <v>0.0</v>
      </c>
      <c r="L4" s="23">
        <v>2.0</v>
      </c>
      <c r="M4" s="23">
        <v>1.0</v>
      </c>
      <c r="N4" s="23">
        <v>0.0</v>
      </c>
      <c r="O4" s="24" t="s">
        <v>142</v>
      </c>
      <c r="P4" s="43"/>
      <c r="Q4" s="43"/>
      <c r="R4" s="24" t="s">
        <v>143</v>
      </c>
      <c r="S4" s="23">
        <v>10.0</v>
      </c>
    </row>
    <row r="5">
      <c r="A5" s="23">
        <v>2.0</v>
      </c>
      <c r="B5" s="24" t="s">
        <v>144</v>
      </c>
      <c r="C5" s="23">
        <v>8.0</v>
      </c>
      <c r="D5" s="23">
        <f t="shared" si="1"/>
        <v>7</v>
      </c>
      <c r="E5" s="23">
        <f t="shared" si="2"/>
        <v>1</v>
      </c>
      <c r="F5" s="24" t="s">
        <v>145</v>
      </c>
      <c r="G5" s="23">
        <v>2.0</v>
      </c>
      <c r="H5" s="23">
        <v>1.0</v>
      </c>
      <c r="I5" s="23">
        <v>0.0</v>
      </c>
      <c r="J5" s="23">
        <v>0.0</v>
      </c>
      <c r="K5" s="23">
        <v>0.0</v>
      </c>
      <c r="L5" s="23">
        <v>1.0</v>
      </c>
      <c r="M5" s="23">
        <v>1.0</v>
      </c>
      <c r="N5" s="23">
        <v>3.0</v>
      </c>
      <c r="O5" s="24" t="s">
        <v>146</v>
      </c>
      <c r="P5" s="26"/>
      <c r="Q5" s="26"/>
      <c r="R5" s="24" t="s">
        <v>147</v>
      </c>
      <c r="S5" s="23">
        <v>10.0</v>
      </c>
    </row>
    <row r="6">
      <c r="A6" s="9">
        <v>3.0</v>
      </c>
      <c r="B6" s="29" t="s">
        <v>62</v>
      </c>
      <c r="C6" s="9">
        <f t="shared" ref="C6:C11" si="3">SUM(G6:N6)</f>
        <v>12</v>
      </c>
      <c r="D6" s="23">
        <f t="shared" si="1"/>
        <v>11</v>
      </c>
      <c r="E6" s="23">
        <f t="shared" si="2"/>
        <v>1</v>
      </c>
      <c r="F6" s="24" t="s">
        <v>148</v>
      </c>
      <c r="G6" s="9">
        <v>3.0</v>
      </c>
      <c r="H6" s="9">
        <v>0.0</v>
      </c>
      <c r="I6" s="9">
        <v>4.0</v>
      </c>
      <c r="J6" s="9">
        <v>0.0</v>
      </c>
      <c r="K6" s="9">
        <v>0.0</v>
      </c>
      <c r="L6" s="9">
        <v>1.0</v>
      </c>
      <c r="M6" s="9">
        <v>2.0</v>
      </c>
      <c r="N6" s="9">
        <v>2.0</v>
      </c>
      <c r="O6" s="9" t="s">
        <v>149</v>
      </c>
      <c r="P6" s="9" t="s">
        <v>150</v>
      </c>
      <c r="Q6" s="9" t="s">
        <v>151</v>
      </c>
      <c r="R6" s="9" t="s">
        <v>152</v>
      </c>
      <c r="S6" s="9">
        <v>9.0</v>
      </c>
    </row>
    <row r="7">
      <c r="A7" s="9">
        <v>4.0</v>
      </c>
      <c r="B7" s="29" t="s">
        <v>68</v>
      </c>
      <c r="C7" s="9">
        <f t="shared" si="3"/>
        <v>7</v>
      </c>
      <c r="D7" s="23">
        <f t="shared" si="1"/>
        <v>6</v>
      </c>
      <c r="E7" s="23">
        <f t="shared" si="2"/>
        <v>1</v>
      </c>
      <c r="F7" s="24" t="s">
        <v>153</v>
      </c>
      <c r="G7" s="9">
        <v>0.0</v>
      </c>
      <c r="H7" s="9">
        <v>0.0</v>
      </c>
      <c r="I7" s="9">
        <v>0.0</v>
      </c>
      <c r="J7" s="9">
        <v>5.0</v>
      </c>
      <c r="K7" s="9">
        <v>0.0</v>
      </c>
      <c r="L7" s="9">
        <v>1.0</v>
      </c>
      <c r="M7" s="9">
        <v>0.0</v>
      </c>
      <c r="N7" s="9">
        <v>1.0</v>
      </c>
      <c r="O7" s="9" t="s">
        <v>154</v>
      </c>
      <c r="P7" s="9" t="s">
        <v>155</v>
      </c>
      <c r="Q7" s="9" t="s">
        <v>156</v>
      </c>
      <c r="R7" s="9" t="s">
        <v>157</v>
      </c>
      <c r="S7" s="9">
        <v>10.0</v>
      </c>
    </row>
    <row r="8">
      <c r="A8" s="9">
        <v>5.0</v>
      </c>
      <c r="B8" s="29" t="s">
        <v>74</v>
      </c>
      <c r="C8" s="9">
        <f t="shared" si="3"/>
        <v>9.5</v>
      </c>
      <c r="D8" s="23">
        <f t="shared" si="1"/>
        <v>8</v>
      </c>
      <c r="E8" s="23">
        <f t="shared" si="2"/>
        <v>1.5</v>
      </c>
      <c r="F8" s="24" t="s">
        <v>158</v>
      </c>
      <c r="G8" s="9">
        <v>0.0</v>
      </c>
      <c r="H8" s="9">
        <v>0.0</v>
      </c>
      <c r="I8" s="9">
        <v>0.0</v>
      </c>
      <c r="J8" s="9">
        <v>3.0</v>
      </c>
      <c r="K8" s="9">
        <v>0.0</v>
      </c>
      <c r="L8" s="9">
        <v>1.5</v>
      </c>
      <c r="M8" s="9">
        <v>0.0</v>
      </c>
      <c r="N8" s="9">
        <v>5.0</v>
      </c>
      <c r="O8" s="9" t="s">
        <v>159</v>
      </c>
      <c r="P8" s="9" t="s">
        <v>160</v>
      </c>
      <c r="Q8" s="9" t="s">
        <v>161</v>
      </c>
      <c r="R8" s="9" t="s">
        <v>162</v>
      </c>
      <c r="S8" s="9">
        <v>8.0</v>
      </c>
    </row>
    <row r="9">
      <c r="A9" s="9">
        <v>6.0</v>
      </c>
      <c r="B9" s="9" t="s">
        <v>80</v>
      </c>
      <c r="C9" s="9">
        <f t="shared" si="3"/>
        <v>6.5</v>
      </c>
      <c r="D9" s="23">
        <f t="shared" si="1"/>
        <v>5</v>
      </c>
      <c r="E9" s="23">
        <f t="shared" si="2"/>
        <v>1.5</v>
      </c>
      <c r="F9" s="24" t="s">
        <v>163</v>
      </c>
      <c r="G9" s="9">
        <v>0.0</v>
      </c>
      <c r="H9" s="9">
        <v>2.0</v>
      </c>
      <c r="I9" s="9">
        <v>1.0</v>
      </c>
      <c r="J9" s="9">
        <v>2.0</v>
      </c>
      <c r="K9" s="9">
        <v>0.0</v>
      </c>
      <c r="L9" s="9">
        <v>1.5</v>
      </c>
      <c r="M9" s="9">
        <v>0.0</v>
      </c>
      <c r="N9" s="9">
        <v>0.0</v>
      </c>
      <c r="O9" s="9" t="s">
        <v>164</v>
      </c>
      <c r="R9" s="9" t="s">
        <v>165</v>
      </c>
      <c r="S9" s="9">
        <v>8.0</v>
      </c>
    </row>
    <row r="10">
      <c r="A10" s="9">
        <v>7.0</v>
      </c>
      <c r="B10" s="9" t="s">
        <v>86</v>
      </c>
      <c r="C10" s="9">
        <f t="shared" si="3"/>
        <v>10</v>
      </c>
      <c r="D10" s="23">
        <f t="shared" si="1"/>
        <v>9</v>
      </c>
      <c r="E10" s="23">
        <f t="shared" si="2"/>
        <v>1</v>
      </c>
      <c r="F10" s="24" t="s">
        <v>166</v>
      </c>
      <c r="G10" s="9">
        <v>0.0</v>
      </c>
      <c r="H10" s="9">
        <v>1.0</v>
      </c>
      <c r="I10" s="9">
        <v>1.0</v>
      </c>
      <c r="J10" s="9">
        <v>4.0</v>
      </c>
      <c r="K10" s="9">
        <v>2.0</v>
      </c>
      <c r="L10" s="9">
        <v>1.0</v>
      </c>
      <c r="M10" s="9">
        <v>1.0</v>
      </c>
      <c r="N10" s="9">
        <v>0.0</v>
      </c>
      <c r="O10" s="9" t="s">
        <v>167</v>
      </c>
      <c r="R10" s="9" t="s">
        <v>168</v>
      </c>
      <c r="S10" s="9">
        <v>10.0</v>
      </c>
    </row>
    <row r="11">
      <c r="A11" s="9">
        <v>8.0</v>
      </c>
      <c r="B11" s="9" t="s">
        <v>169</v>
      </c>
      <c r="C11" s="9">
        <f t="shared" si="3"/>
        <v>12</v>
      </c>
      <c r="D11" s="23">
        <f t="shared" si="1"/>
        <v>10.5</v>
      </c>
      <c r="E11" s="23">
        <f t="shared" si="2"/>
        <v>1.5</v>
      </c>
      <c r="F11" s="24" t="s">
        <v>170</v>
      </c>
      <c r="G11" s="9">
        <v>0.0</v>
      </c>
      <c r="H11" s="9">
        <v>0.0</v>
      </c>
      <c r="I11" s="9">
        <v>0.0</v>
      </c>
      <c r="J11" s="9">
        <v>3.5</v>
      </c>
      <c r="K11" s="9">
        <v>1.0</v>
      </c>
      <c r="L11" s="9">
        <v>1.5</v>
      </c>
      <c r="M11" s="9">
        <v>3.0</v>
      </c>
      <c r="N11" s="9">
        <v>3.0</v>
      </c>
      <c r="O11" s="9" t="s">
        <v>171</v>
      </c>
      <c r="P11" s="9" t="s">
        <v>172</v>
      </c>
      <c r="Q11" s="9" t="s">
        <v>173</v>
      </c>
      <c r="R11" s="9" t="s">
        <v>174</v>
      </c>
      <c r="S11" s="9">
        <v>12.0</v>
      </c>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6.25"/>
    <col customWidth="1" min="15" max="15" width="23.75"/>
    <col customWidth="1" min="16" max="16" width="28.75"/>
    <col customWidth="1" min="17" max="17" width="31.5"/>
    <col customWidth="1" min="18" max="18" width="27.63"/>
  </cols>
  <sheetData>
    <row r="2">
      <c r="A2" s="19" t="s">
        <v>175</v>
      </c>
      <c r="G2" s="20"/>
      <c r="H2" s="20"/>
      <c r="I2" s="20"/>
      <c r="J2" s="20"/>
      <c r="K2" s="20"/>
      <c r="L2" s="20"/>
      <c r="M2" s="20"/>
      <c r="N2" s="20"/>
      <c r="O2" s="20"/>
      <c r="P2" s="20"/>
      <c r="Q2" s="20"/>
      <c r="R2" s="20"/>
      <c r="S2" s="20"/>
    </row>
    <row r="3">
      <c r="A3" s="5" t="s">
        <v>41</v>
      </c>
      <c r="B3" s="5" t="s">
        <v>3</v>
      </c>
      <c r="C3" s="5" t="s">
        <v>42</v>
      </c>
      <c r="D3" s="5" t="s">
        <v>43</v>
      </c>
      <c r="E3" s="5" t="s">
        <v>44</v>
      </c>
      <c r="F3" s="5" t="s">
        <v>45</v>
      </c>
      <c r="G3" s="5" t="s">
        <v>16</v>
      </c>
      <c r="H3" s="5" t="s">
        <v>17</v>
      </c>
      <c r="I3" s="5" t="s">
        <v>18</v>
      </c>
      <c r="J3" s="5" t="s">
        <v>19</v>
      </c>
      <c r="K3" s="5" t="s">
        <v>20</v>
      </c>
      <c r="L3" s="5" t="s">
        <v>21</v>
      </c>
      <c r="M3" s="5" t="s">
        <v>22</v>
      </c>
      <c r="N3" s="5" t="s">
        <v>23</v>
      </c>
      <c r="O3" s="5" t="s">
        <v>46</v>
      </c>
      <c r="P3" s="21" t="s">
        <v>47</v>
      </c>
      <c r="Q3" s="21" t="s">
        <v>48</v>
      </c>
      <c r="R3" s="5" t="s">
        <v>49</v>
      </c>
      <c r="S3" s="22" t="s">
        <v>50</v>
      </c>
    </row>
    <row r="4">
      <c r="A4" s="23">
        <v>1.0</v>
      </c>
      <c r="B4" s="24" t="s">
        <v>51</v>
      </c>
      <c r="C4" s="23">
        <v>6.0</v>
      </c>
      <c r="D4" s="23">
        <v>5.0</v>
      </c>
      <c r="E4" s="23">
        <v>1.0</v>
      </c>
      <c r="F4" s="24" t="s">
        <v>176</v>
      </c>
      <c r="G4" s="23">
        <v>2.0</v>
      </c>
      <c r="H4" s="23">
        <v>1.0</v>
      </c>
      <c r="I4" s="26"/>
      <c r="J4" s="26"/>
      <c r="K4" s="26"/>
      <c r="L4" s="23">
        <v>0.5</v>
      </c>
      <c r="M4" s="23">
        <v>1.0</v>
      </c>
      <c r="N4" s="23">
        <v>0.5</v>
      </c>
      <c r="O4" s="24" t="s">
        <v>177</v>
      </c>
      <c r="P4" s="24" t="s">
        <v>178</v>
      </c>
      <c r="Q4" s="24" t="s">
        <v>179</v>
      </c>
      <c r="R4" s="24" t="s">
        <v>180</v>
      </c>
      <c r="S4" s="23">
        <v>6.0</v>
      </c>
      <c r="T4" s="26"/>
      <c r="U4" s="26"/>
      <c r="V4" s="26"/>
      <c r="W4" s="26"/>
      <c r="X4" s="26"/>
      <c r="Y4" s="26"/>
      <c r="Z4" s="26"/>
    </row>
    <row r="5">
      <c r="A5" s="23">
        <v>2.0</v>
      </c>
      <c r="B5" s="24" t="s">
        <v>57</v>
      </c>
      <c r="C5" s="23">
        <v>7.0</v>
      </c>
      <c r="D5" s="23">
        <v>6.0</v>
      </c>
      <c r="E5" s="23">
        <v>1.0</v>
      </c>
      <c r="F5" s="24" t="s">
        <v>181</v>
      </c>
      <c r="G5" s="23">
        <v>1.0</v>
      </c>
      <c r="H5" s="26"/>
      <c r="I5" s="23">
        <v>2.0</v>
      </c>
      <c r="J5" s="26"/>
      <c r="K5" s="26"/>
      <c r="L5" s="23">
        <v>1.0</v>
      </c>
      <c r="M5" s="26"/>
      <c r="N5" s="23">
        <v>2.0</v>
      </c>
      <c r="O5" s="26"/>
      <c r="P5" s="24" t="s">
        <v>182</v>
      </c>
      <c r="Q5" s="26"/>
      <c r="R5" s="26"/>
      <c r="S5" s="26"/>
      <c r="T5" s="26"/>
      <c r="U5" s="26"/>
      <c r="V5" s="26"/>
      <c r="W5" s="26"/>
      <c r="X5" s="26"/>
      <c r="Y5" s="26"/>
      <c r="Z5" s="26"/>
    </row>
    <row r="6">
      <c r="A6" s="9">
        <v>3.0</v>
      </c>
      <c r="B6" s="9" t="s">
        <v>183</v>
      </c>
      <c r="C6" s="9">
        <v>7.0</v>
      </c>
      <c r="D6" s="9">
        <v>6.0</v>
      </c>
      <c r="E6" s="9">
        <v>1.0</v>
      </c>
      <c r="F6" s="9" t="s">
        <v>184</v>
      </c>
      <c r="G6" s="9">
        <v>1.0</v>
      </c>
      <c r="H6" s="9">
        <v>2.0</v>
      </c>
      <c r="L6" s="9">
        <v>2.0</v>
      </c>
      <c r="N6" s="9">
        <v>1.0</v>
      </c>
      <c r="O6" s="9" t="s">
        <v>185</v>
      </c>
      <c r="P6" s="9" t="s">
        <v>186</v>
      </c>
      <c r="Q6" s="9" t="s">
        <v>187</v>
      </c>
      <c r="R6" s="9" t="s">
        <v>188</v>
      </c>
      <c r="S6" s="9">
        <v>6.0</v>
      </c>
    </row>
    <row r="7">
      <c r="A7" s="9">
        <v>4.0</v>
      </c>
      <c r="B7" s="9" t="s">
        <v>68</v>
      </c>
      <c r="C7" s="9">
        <v>10.0</v>
      </c>
      <c r="D7" s="9">
        <v>9.0</v>
      </c>
      <c r="E7" s="9">
        <v>1.0</v>
      </c>
      <c r="F7" s="9" t="s">
        <v>189</v>
      </c>
      <c r="G7" s="9">
        <v>0.0</v>
      </c>
      <c r="H7" s="9">
        <v>0.0</v>
      </c>
      <c r="I7" s="9">
        <v>2.0</v>
      </c>
      <c r="J7" s="9"/>
      <c r="L7" s="9">
        <v>3.0</v>
      </c>
      <c r="M7" s="9">
        <v>3.0</v>
      </c>
      <c r="N7" s="9">
        <v>2.0</v>
      </c>
      <c r="O7" s="9" t="s">
        <v>190</v>
      </c>
      <c r="P7" s="9" t="s">
        <v>191</v>
      </c>
      <c r="Q7" s="9" t="s">
        <v>192</v>
      </c>
      <c r="R7" s="9" t="s">
        <v>193</v>
      </c>
      <c r="S7" s="9">
        <v>10.0</v>
      </c>
    </row>
    <row r="8">
      <c r="A8" s="9">
        <v>5.0</v>
      </c>
      <c r="B8" s="9" t="s">
        <v>74</v>
      </c>
      <c r="C8" s="9">
        <v>12.0</v>
      </c>
      <c r="D8" s="9">
        <v>11.0</v>
      </c>
      <c r="E8" s="9">
        <v>1.0</v>
      </c>
      <c r="F8" s="9" t="s">
        <v>194</v>
      </c>
      <c r="G8" s="9">
        <v>0.0</v>
      </c>
      <c r="H8" s="9">
        <v>0.0</v>
      </c>
      <c r="I8" s="9">
        <v>2.0</v>
      </c>
      <c r="J8" s="9">
        <v>3.0</v>
      </c>
      <c r="K8" s="9">
        <v>2.0</v>
      </c>
      <c r="L8" s="9">
        <v>2.0</v>
      </c>
      <c r="M8" s="9">
        <v>0.0</v>
      </c>
      <c r="N8" s="9">
        <v>3.0</v>
      </c>
      <c r="O8" s="9" t="s">
        <v>195</v>
      </c>
      <c r="P8" s="9" t="s">
        <v>196</v>
      </c>
      <c r="Q8" s="9" t="s">
        <v>197</v>
      </c>
      <c r="R8" s="9" t="s">
        <v>198</v>
      </c>
      <c r="S8" s="9">
        <v>12.0</v>
      </c>
    </row>
    <row r="9">
      <c r="A9" s="9">
        <v>6.0</v>
      </c>
      <c r="B9" s="9" t="s">
        <v>80</v>
      </c>
      <c r="C9" s="9">
        <v>12.0</v>
      </c>
      <c r="D9" s="9">
        <v>11.0</v>
      </c>
      <c r="E9" s="9">
        <v>1.0</v>
      </c>
      <c r="F9" s="9" t="s">
        <v>199</v>
      </c>
      <c r="H9" s="9">
        <v>0.0</v>
      </c>
      <c r="I9" s="9">
        <v>3.0</v>
      </c>
      <c r="J9" s="9">
        <v>3.0</v>
      </c>
      <c r="K9" s="9">
        <v>3.0</v>
      </c>
      <c r="L9" s="9">
        <v>1.0</v>
      </c>
      <c r="M9" s="9">
        <v>2.0</v>
      </c>
      <c r="O9" s="9" t="s">
        <v>200</v>
      </c>
      <c r="P9" s="9" t="s">
        <v>201</v>
      </c>
      <c r="Q9" s="9" t="s">
        <v>201</v>
      </c>
      <c r="R9" s="9" t="s">
        <v>202</v>
      </c>
      <c r="S9" s="9">
        <v>13.0</v>
      </c>
    </row>
    <row r="10">
      <c r="A10" s="9">
        <v>7.0</v>
      </c>
      <c r="B10" s="9" t="s">
        <v>86</v>
      </c>
      <c r="C10" s="9">
        <v>13.0</v>
      </c>
      <c r="D10" s="9">
        <v>12.0</v>
      </c>
      <c r="E10" s="9">
        <v>1.0</v>
      </c>
      <c r="F10" s="9" t="s">
        <v>203</v>
      </c>
      <c r="I10" s="9">
        <v>2.0</v>
      </c>
      <c r="J10" s="9">
        <v>3.0</v>
      </c>
      <c r="K10" s="9">
        <v>3.0</v>
      </c>
      <c r="L10" s="9">
        <v>1.0</v>
      </c>
      <c r="M10" s="9">
        <v>3.0</v>
      </c>
      <c r="O10" s="9" t="s">
        <v>204</v>
      </c>
      <c r="P10" s="9" t="s">
        <v>205</v>
      </c>
      <c r="Q10" s="9" t="s">
        <v>206</v>
      </c>
      <c r="R10" s="9" t="s">
        <v>207</v>
      </c>
      <c r="S10" s="9">
        <v>13.0</v>
      </c>
    </row>
    <row r="11">
      <c r="A11" s="9">
        <v>8.0</v>
      </c>
      <c r="B11" s="9" t="s">
        <v>92</v>
      </c>
      <c r="C11" s="9">
        <v>15.0</v>
      </c>
      <c r="D11" s="9">
        <v>14.0</v>
      </c>
      <c r="E11" s="9">
        <v>1.0</v>
      </c>
      <c r="F11" s="9" t="s">
        <v>208</v>
      </c>
      <c r="J11" s="9">
        <v>3.0</v>
      </c>
      <c r="K11" s="9">
        <v>4.0</v>
      </c>
      <c r="L11" s="9">
        <v>4.0</v>
      </c>
      <c r="M11" s="9">
        <v>3.0</v>
      </c>
      <c r="O11" s="9" t="s">
        <v>209</v>
      </c>
      <c r="P11" s="9" t="s">
        <v>210</v>
      </c>
      <c r="Q11" s="9" t="s">
        <v>211</v>
      </c>
      <c r="R11" s="9" t="s">
        <v>212</v>
      </c>
      <c r="S11" s="9">
        <v>16.0</v>
      </c>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8.0"/>
    <col customWidth="1" min="6" max="6" width="36.63"/>
  </cols>
  <sheetData>
    <row r="1">
      <c r="A1" s="44"/>
      <c r="B1" s="44"/>
      <c r="C1" s="44"/>
      <c r="D1" s="44"/>
      <c r="E1" s="44"/>
      <c r="F1" s="44"/>
      <c r="G1" s="44"/>
      <c r="H1" s="44"/>
      <c r="I1" s="44"/>
      <c r="J1" s="44"/>
      <c r="K1" s="44"/>
      <c r="L1" s="44"/>
      <c r="M1" s="44"/>
      <c r="N1" s="44"/>
      <c r="O1" s="44"/>
      <c r="P1" s="44"/>
      <c r="Q1" s="44"/>
      <c r="R1" s="44"/>
      <c r="S1" s="44"/>
      <c r="T1" s="44"/>
      <c r="U1" s="44"/>
      <c r="V1" s="44"/>
      <c r="W1" s="44"/>
      <c r="X1" s="44"/>
      <c r="Y1" s="44"/>
      <c r="Z1" s="44"/>
    </row>
    <row r="2">
      <c r="A2" s="45" t="s">
        <v>213</v>
      </c>
      <c r="G2" s="46"/>
      <c r="H2" s="46"/>
      <c r="I2" s="46"/>
      <c r="J2" s="46"/>
      <c r="K2" s="46"/>
      <c r="L2" s="46"/>
      <c r="M2" s="46"/>
      <c r="N2" s="46"/>
      <c r="O2" s="46"/>
      <c r="P2" s="46"/>
      <c r="Q2" s="46"/>
      <c r="R2" s="46"/>
      <c r="S2" s="46"/>
      <c r="T2" s="46"/>
      <c r="U2" s="46"/>
      <c r="V2" s="46"/>
      <c r="W2" s="46"/>
      <c r="X2" s="46"/>
      <c r="Y2" s="46"/>
      <c r="Z2" s="46"/>
    </row>
    <row r="3">
      <c r="A3" s="45" t="s">
        <v>214</v>
      </c>
      <c r="B3" s="47" t="s">
        <v>3</v>
      </c>
      <c r="C3" s="48" t="s">
        <v>215</v>
      </c>
      <c r="D3" s="45" t="s">
        <v>216</v>
      </c>
      <c r="E3" s="45" t="s">
        <v>217</v>
      </c>
      <c r="F3" s="48" t="s">
        <v>218</v>
      </c>
      <c r="G3" s="48" t="s">
        <v>219</v>
      </c>
      <c r="H3" s="45" t="s">
        <v>220</v>
      </c>
      <c r="I3" s="45" t="s">
        <v>221</v>
      </c>
      <c r="J3" s="45" t="s">
        <v>222</v>
      </c>
      <c r="K3" s="45" t="s">
        <v>223</v>
      </c>
      <c r="L3" s="45" t="s">
        <v>224</v>
      </c>
      <c r="M3" s="45" t="s">
        <v>225</v>
      </c>
      <c r="N3" s="48" t="s">
        <v>226</v>
      </c>
      <c r="O3" s="45" t="s">
        <v>227</v>
      </c>
      <c r="P3" s="45" t="s">
        <v>47</v>
      </c>
      <c r="Q3" s="45" t="s">
        <v>48</v>
      </c>
      <c r="R3" s="45" t="s">
        <v>228</v>
      </c>
      <c r="S3" s="45" t="s">
        <v>229</v>
      </c>
      <c r="U3" s="46"/>
      <c r="V3" s="46"/>
      <c r="W3" s="46"/>
      <c r="X3" s="46"/>
      <c r="Y3" s="46"/>
      <c r="Z3" s="46"/>
    </row>
    <row r="4">
      <c r="A4" s="49">
        <v>1.0</v>
      </c>
      <c r="B4" s="50" t="s">
        <v>100</v>
      </c>
      <c r="C4" s="49">
        <v>7.0</v>
      </c>
      <c r="D4" s="49">
        <v>6.0</v>
      </c>
      <c r="E4" s="49">
        <v>1.0</v>
      </c>
      <c r="F4" s="51" t="s">
        <v>230</v>
      </c>
      <c r="G4" s="49">
        <v>3.0</v>
      </c>
      <c r="H4" s="49">
        <v>1.0</v>
      </c>
      <c r="I4" s="46"/>
      <c r="J4" s="46"/>
      <c r="K4" s="46"/>
      <c r="L4" s="49">
        <v>0.5</v>
      </c>
      <c r="M4" s="49">
        <v>1.0</v>
      </c>
      <c r="N4" s="49">
        <v>0.5</v>
      </c>
      <c r="O4" s="51" t="s">
        <v>231</v>
      </c>
      <c r="P4" s="51" t="s">
        <v>232</v>
      </c>
      <c r="Q4" s="51" t="s">
        <v>233</v>
      </c>
      <c r="R4" s="51" t="s">
        <v>234</v>
      </c>
      <c r="S4" s="49">
        <v>6.0</v>
      </c>
      <c r="T4" s="46"/>
      <c r="U4" s="46"/>
      <c r="V4" s="46"/>
      <c r="W4" s="46"/>
      <c r="X4" s="46"/>
      <c r="Y4" s="46"/>
      <c r="Z4" s="46"/>
    </row>
    <row r="5">
      <c r="A5" s="52">
        <v>2.0</v>
      </c>
      <c r="B5" s="52" t="s">
        <v>235</v>
      </c>
      <c r="C5" s="52">
        <v>7.0</v>
      </c>
      <c r="D5" s="52">
        <v>6.0</v>
      </c>
      <c r="E5" s="52">
        <v>1.0</v>
      </c>
      <c r="F5" s="52" t="s">
        <v>236</v>
      </c>
      <c r="G5" s="52">
        <v>4.0</v>
      </c>
      <c r="H5" s="52">
        <v>1.0</v>
      </c>
      <c r="I5" s="53"/>
      <c r="J5" s="53"/>
      <c r="K5" s="53"/>
      <c r="L5" s="52">
        <v>1.0</v>
      </c>
      <c r="M5" s="52">
        <v>1.0</v>
      </c>
      <c r="N5" s="52">
        <v>1.0</v>
      </c>
      <c r="O5" s="52" t="s">
        <v>237</v>
      </c>
      <c r="P5" s="52" t="s">
        <v>238</v>
      </c>
      <c r="Q5" s="53"/>
      <c r="R5" s="52" t="s">
        <v>239</v>
      </c>
      <c r="S5" s="52">
        <v>7.0</v>
      </c>
      <c r="T5" s="53"/>
      <c r="U5" s="53"/>
      <c r="V5" s="53"/>
      <c r="W5" s="53"/>
      <c r="X5" s="53"/>
      <c r="Y5" s="53"/>
      <c r="Z5" s="53"/>
    </row>
    <row r="6">
      <c r="A6" s="54">
        <v>3.0</v>
      </c>
      <c r="B6" s="54" t="s">
        <v>240</v>
      </c>
      <c r="C6" s="54">
        <v>9.0</v>
      </c>
      <c r="D6" s="54">
        <v>8.0</v>
      </c>
      <c r="E6" s="54">
        <v>1.0</v>
      </c>
      <c r="F6" s="54" t="s">
        <v>241</v>
      </c>
      <c r="G6" s="54">
        <v>2.0</v>
      </c>
      <c r="H6" s="44"/>
      <c r="I6" s="44"/>
      <c r="J6" s="54">
        <v>4.0</v>
      </c>
      <c r="K6" s="54">
        <v>2.0</v>
      </c>
      <c r="L6" s="54">
        <v>1.0</v>
      </c>
      <c r="M6" s="44"/>
      <c r="N6" s="44"/>
      <c r="O6" s="54" t="s">
        <v>237</v>
      </c>
      <c r="P6" s="54" t="s">
        <v>238</v>
      </c>
      <c r="Q6" s="44"/>
      <c r="R6" s="54" t="s">
        <v>242</v>
      </c>
      <c r="S6" s="54">
        <v>7.0</v>
      </c>
      <c r="T6" s="44"/>
      <c r="U6" s="44"/>
      <c r="V6" s="44"/>
      <c r="W6" s="44"/>
      <c r="X6" s="44"/>
      <c r="Y6" s="44"/>
      <c r="Z6" s="44"/>
    </row>
    <row r="7">
      <c r="A7" s="54">
        <v>4.0</v>
      </c>
      <c r="B7" s="54" t="s">
        <v>74</v>
      </c>
      <c r="C7" s="54">
        <v>9.0</v>
      </c>
      <c r="D7" s="54">
        <v>7.5</v>
      </c>
      <c r="E7" s="54">
        <v>1.5</v>
      </c>
      <c r="F7" s="54" t="s">
        <v>243</v>
      </c>
      <c r="G7" s="54">
        <v>2.0</v>
      </c>
      <c r="H7" s="44"/>
      <c r="I7" s="44"/>
      <c r="J7" s="54">
        <v>4.0</v>
      </c>
      <c r="K7" s="54">
        <v>2.0</v>
      </c>
      <c r="L7" s="54">
        <v>1.0</v>
      </c>
      <c r="M7" s="54">
        <v>1.0</v>
      </c>
      <c r="N7" s="54">
        <v>1.0</v>
      </c>
      <c r="O7" s="44"/>
      <c r="P7" s="54" t="s">
        <v>238</v>
      </c>
      <c r="Q7" s="44"/>
      <c r="R7" s="54" t="s">
        <v>244</v>
      </c>
      <c r="S7" s="54">
        <v>8.0</v>
      </c>
      <c r="T7" s="44"/>
      <c r="U7" s="44"/>
      <c r="V7" s="44"/>
      <c r="W7" s="44"/>
      <c r="X7" s="44"/>
      <c r="Y7" s="44"/>
      <c r="Z7" s="44"/>
    </row>
    <row r="8">
      <c r="A8" s="54">
        <v>5.0</v>
      </c>
      <c r="B8" s="54" t="s">
        <v>74</v>
      </c>
      <c r="C8" s="54">
        <v>8.0</v>
      </c>
      <c r="D8" s="54">
        <v>7.0</v>
      </c>
      <c r="E8" s="54">
        <v>1.0</v>
      </c>
      <c r="F8" s="54" t="s">
        <v>245</v>
      </c>
      <c r="G8" s="44"/>
      <c r="H8" s="44"/>
      <c r="I8" s="44"/>
      <c r="J8" s="44"/>
      <c r="K8" s="44"/>
      <c r="L8" s="44"/>
      <c r="M8" s="44"/>
      <c r="N8" s="54">
        <v>1.0</v>
      </c>
      <c r="O8" s="44"/>
      <c r="P8" s="44"/>
      <c r="Q8" s="44"/>
      <c r="R8" s="44"/>
      <c r="S8" s="54">
        <v>7.0</v>
      </c>
      <c r="T8" s="44"/>
      <c r="U8" s="44"/>
      <c r="V8" s="44"/>
      <c r="W8" s="44"/>
      <c r="X8" s="44"/>
      <c r="Y8" s="44"/>
      <c r="Z8" s="44"/>
    </row>
    <row r="9">
      <c r="A9" s="54">
        <v>6.0</v>
      </c>
      <c r="B9" s="54" t="s">
        <v>80</v>
      </c>
      <c r="C9" s="54">
        <v>9.0</v>
      </c>
      <c r="D9" s="54">
        <v>7.0</v>
      </c>
      <c r="E9" s="54">
        <v>2.0</v>
      </c>
      <c r="F9" s="9" t="s">
        <v>246</v>
      </c>
      <c r="G9" s="54">
        <v>2.0</v>
      </c>
      <c r="H9" s="44"/>
      <c r="I9" s="44"/>
      <c r="J9" s="54">
        <v>4.0</v>
      </c>
      <c r="K9" s="54">
        <v>1.0</v>
      </c>
      <c r="L9" s="54">
        <v>1.0</v>
      </c>
      <c r="M9" s="54">
        <v>1.0</v>
      </c>
      <c r="N9" s="54">
        <v>1.0</v>
      </c>
      <c r="O9" s="44"/>
      <c r="P9" s="44"/>
      <c r="Q9" s="44"/>
      <c r="R9" s="44"/>
      <c r="S9" s="54">
        <v>8.0</v>
      </c>
      <c r="T9" s="44"/>
      <c r="U9" s="44"/>
      <c r="V9" s="44"/>
      <c r="W9" s="44"/>
      <c r="X9" s="44"/>
      <c r="Y9" s="44"/>
      <c r="Z9" s="44"/>
    </row>
    <row r="10">
      <c r="A10" s="54">
        <v>7.0</v>
      </c>
      <c r="B10" s="54" t="s">
        <v>247</v>
      </c>
      <c r="C10" s="54">
        <v>9.0</v>
      </c>
      <c r="D10" s="54">
        <v>7.0</v>
      </c>
      <c r="E10" s="54">
        <v>2.0</v>
      </c>
      <c r="F10" s="9" t="s">
        <v>248</v>
      </c>
      <c r="G10" s="54">
        <v>3.0</v>
      </c>
      <c r="H10" s="44"/>
      <c r="I10" s="44"/>
      <c r="J10" s="54">
        <v>3.0</v>
      </c>
      <c r="K10" s="54">
        <v>1.0</v>
      </c>
      <c r="L10" s="54">
        <v>1.0</v>
      </c>
      <c r="M10" s="54">
        <v>1.0</v>
      </c>
      <c r="N10" s="54">
        <v>1.0</v>
      </c>
      <c r="O10" s="44"/>
      <c r="P10" s="44"/>
      <c r="Q10" s="44"/>
      <c r="R10" s="44"/>
      <c r="S10" s="54">
        <v>9.0</v>
      </c>
      <c r="T10" s="44"/>
      <c r="U10" s="44"/>
      <c r="V10" s="44"/>
      <c r="W10" s="44"/>
      <c r="X10" s="44"/>
      <c r="Y10" s="44"/>
      <c r="Z10" s="44"/>
    </row>
    <row r="11">
      <c r="A11" s="54">
        <v>8.0</v>
      </c>
      <c r="B11" s="54" t="s">
        <v>169</v>
      </c>
      <c r="C11" s="54">
        <v>8.0</v>
      </c>
      <c r="D11" s="54">
        <v>7.0</v>
      </c>
      <c r="E11" s="54">
        <v>1.0</v>
      </c>
      <c r="F11" s="9" t="s">
        <v>249</v>
      </c>
      <c r="G11" s="44"/>
      <c r="H11" s="44"/>
      <c r="I11" s="54">
        <v>2.0</v>
      </c>
      <c r="J11" s="54">
        <v>4.0</v>
      </c>
      <c r="K11" s="54">
        <v>1.0</v>
      </c>
      <c r="L11" s="54">
        <v>1.0</v>
      </c>
      <c r="M11" s="54">
        <v>1.0</v>
      </c>
      <c r="N11" s="54">
        <v>1.0</v>
      </c>
      <c r="O11" s="44"/>
      <c r="P11" s="44"/>
      <c r="Q11" s="44"/>
      <c r="R11" s="44"/>
      <c r="S11" s="54">
        <v>10.0</v>
      </c>
      <c r="T11" s="44"/>
      <c r="U11" s="44"/>
      <c r="V11" s="44"/>
      <c r="W11" s="44"/>
      <c r="X11" s="44"/>
      <c r="Y11" s="44"/>
      <c r="Z11" s="44"/>
    </row>
    <row r="12">
      <c r="A12" s="44"/>
      <c r="B12" s="44"/>
      <c r="C12" s="44"/>
      <c r="D12" s="44"/>
      <c r="E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2">
    <mergeCell ref="A2:F2"/>
    <mergeCell ref="S3:T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0.63"/>
    <col customWidth="1" min="8" max="8" width="17.0"/>
  </cols>
  <sheetData>
    <row r="1" ht="27.0" customHeight="1">
      <c r="A1" s="55" t="s">
        <v>250</v>
      </c>
      <c r="B1" s="56"/>
      <c r="C1" s="56"/>
      <c r="D1" s="56"/>
      <c r="E1" s="56"/>
      <c r="F1" s="56"/>
      <c r="G1" s="56"/>
      <c r="H1" s="56"/>
      <c r="I1" s="56"/>
      <c r="J1" s="56"/>
      <c r="K1" s="57"/>
      <c r="L1" s="57"/>
      <c r="M1" s="57"/>
      <c r="N1" s="57"/>
      <c r="O1" s="57"/>
      <c r="P1" s="57"/>
      <c r="Q1" s="57"/>
      <c r="R1" s="57"/>
      <c r="S1" s="57"/>
      <c r="T1" s="57"/>
      <c r="U1" s="57"/>
      <c r="V1" s="57"/>
      <c r="W1" s="57"/>
      <c r="X1" s="57"/>
      <c r="Y1" s="57"/>
      <c r="Z1" s="57"/>
    </row>
    <row r="2">
      <c r="A2" s="58" t="s">
        <v>251</v>
      </c>
      <c r="B2" s="59" t="s">
        <v>252</v>
      </c>
      <c r="C2" s="59" t="s">
        <v>253</v>
      </c>
      <c r="D2" s="59" t="s">
        <v>254</v>
      </c>
      <c r="E2" s="59" t="s">
        <v>255</v>
      </c>
      <c r="F2" s="59" t="s">
        <v>256</v>
      </c>
      <c r="G2" s="59" t="s">
        <v>257</v>
      </c>
      <c r="H2" s="59" t="s">
        <v>258</v>
      </c>
      <c r="I2" s="59" t="s">
        <v>259</v>
      </c>
      <c r="J2" s="59" t="s">
        <v>260</v>
      </c>
      <c r="K2" s="60" t="s">
        <v>261</v>
      </c>
      <c r="L2" s="61"/>
      <c r="M2" s="61"/>
      <c r="N2" s="61"/>
      <c r="O2" s="61"/>
      <c r="P2" s="61"/>
      <c r="Q2" s="61"/>
      <c r="R2" s="61"/>
      <c r="S2" s="61"/>
      <c r="T2" s="61"/>
      <c r="U2" s="61"/>
      <c r="V2" s="61"/>
      <c r="W2" s="61"/>
      <c r="X2" s="61"/>
      <c r="Y2" s="61"/>
      <c r="Z2" s="61"/>
    </row>
  </sheetData>
  <drawing r:id="rId1"/>
</worksheet>
</file>